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shg\OneDrive\Desktop\Projects\esg-financial-analytics-platform\excel\"/>
    </mc:Choice>
  </mc:AlternateContent>
  <xr:revisionPtr revIDLastSave="0" documentId="13_ncr:1_{FC071B7B-12B2-4D2D-A49A-81CEDE1B6878}" xr6:coauthVersionLast="47" xr6:coauthVersionMax="47" xr10:uidLastSave="{00000000-0000-0000-0000-000000000000}"/>
  <bookViews>
    <workbookView xWindow="-110" yWindow="-110" windowWidth="19420" windowHeight="10300" tabRatio="865" activeTab="6" xr2:uid="{00000000-000D-0000-FFFF-FFFF00000000}"/>
  </bookViews>
  <sheets>
    <sheet name="Cover" sheetId="1" r:id="rId1"/>
    <sheet name="Assumptions" sheetId="2" r:id="rId2"/>
    <sheet name="Income_Statement" sheetId="3" r:id="rId3"/>
    <sheet name="Balance_Sheet" sheetId="4" r:id="rId4"/>
    <sheet name="Cash_Flow" sheetId="5" r:id="rId5"/>
    <sheet name="DCF_Valuation" sheetId="6" r:id="rId6"/>
    <sheet name="Peer_Comparison" sheetId="7" r:id="rId7"/>
  </sheets>
  <definedNames>
    <definedName name="_xlnm.Print_Area" localSheetId="1">Assumptions!$A$1:$E$34</definedName>
    <definedName name="_xlnm.Print_Area" localSheetId="3">Balance_Sheet!$B$1:$H$17</definedName>
    <definedName name="_xlnm.Print_Area" localSheetId="4">Cash_Flow!$B$1:$H$10</definedName>
    <definedName name="_xlnm.Print_Area" localSheetId="0">Cover!$A$1:$I$13</definedName>
    <definedName name="_xlnm.Print_Area" localSheetId="5">DCF_Valuation!$A$1:$H$41</definedName>
    <definedName name="_xlnm.Print_Area" localSheetId="2">Income_Statement!$B$1:$H$17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7" l="1"/>
  <c r="C22" i="7"/>
  <c r="C21" i="7"/>
  <c r="C20" i="7"/>
  <c r="C19" i="7"/>
  <c r="N16" i="7"/>
  <c r="N15" i="7"/>
  <c r="N14" i="7"/>
  <c r="N13" i="7"/>
  <c r="N12" i="7"/>
  <c r="N11" i="7"/>
  <c r="N10" i="7"/>
  <c r="N9" i="7"/>
  <c r="O8" i="7"/>
  <c r="N8" i="7"/>
  <c r="N7" i="7"/>
  <c r="A36" i="6"/>
  <c r="F35" i="6"/>
  <c r="F34" i="6"/>
  <c r="E32" i="6"/>
  <c r="E31" i="6"/>
  <c r="E30" i="6"/>
  <c r="B26" i="6"/>
  <c r="B24" i="6"/>
  <c r="B22" i="6"/>
  <c r="B20" i="6"/>
  <c r="B19" i="6"/>
  <c r="B18" i="6"/>
  <c r="B14" i="6"/>
  <c r="B13" i="6"/>
  <c r="B12" i="6"/>
  <c r="B11" i="6"/>
  <c r="B10" i="6"/>
  <c r="D6" i="6"/>
  <c r="C6" i="6"/>
  <c r="B6" i="6"/>
  <c r="D5" i="6"/>
  <c r="C5" i="6"/>
  <c r="B5" i="6"/>
  <c r="D4" i="6"/>
  <c r="C4" i="6"/>
  <c r="B4" i="6"/>
  <c r="H10" i="5"/>
  <c r="G10" i="5"/>
  <c r="F10" i="5"/>
  <c r="E10" i="5"/>
  <c r="D10" i="5"/>
  <c r="C10" i="5"/>
  <c r="H9" i="5"/>
  <c r="G9" i="5"/>
  <c r="F9" i="5"/>
  <c r="E9" i="5"/>
  <c r="D9" i="5"/>
  <c r="C9" i="5"/>
  <c r="H7" i="5"/>
  <c r="G7" i="5"/>
  <c r="F7" i="5"/>
  <c r="H6" i="5"/>
  <c r="G6" i="5"/>
  <c r="F6" i="5"/>
  <c r="H5" i="5"/>
  <c r="G5" i="5"/>
  <c r="F5" i="5"/>
  <c r="E5" i="5"/>
  <c r="D5" i="5"/>
  <c r="C5" i="5"/>
  <c r="H3" i="5"/>
  <c r="G3" i="5"/>
  <c r="F3" i="5"/>
  <c r="E3" i="5"/>
  <c r="D3" i="5"/>
  <c r="C3" i="5"/>
  <c r="H17" i="4"/>
  <c r="G17" i="4"/>
  <c r="F17" i="4"/>
  <c r="E17" i="4"/>
  <c r="D17" i="4"/>
  <c r="C17" i="4"/>
  <c r="H16" i="4"/>
  <c r="G16" i="4"/>
  <c r="F16" i="4"/>
  <c r="E16" i="4"/>
  <c r="D16" i="4"/>
  <c r="C16" i="4"/>
  <c r="H13" i="4"/>
  <c r="G13" i="4"/>
  <c r="F13" i="4"/>
  <c r="E13" i="4"/>
  <c r="D13" i="4"/>
  <c r="C13" i="4"/>
  <c r="H10" i="4"/>
  <c r="G10" i="4"/>
  <c r="F10" i="4"/>
  <c r="H9" i="4"/>
  <c r="G9" i="4"/>
  <c r="F9" i="4"/>
  <c r="H6" i="4"/>
  <c r="G6" i="4"/>
  <c r="F6" i="4"/>
  <c r="H5" i="4"/>
  <c r="G5" i="4"/>
  <c r="F5" i="4"/>
  <c r="H4" i="4"/>
  <c r="G4" i="4"/>
  <c r="F4" i="4"/>
  <c r="H17" i="3"/>
  <c r="G17" i="3"/>
  <c r="F17" i="3"/>
  <c r="H15" i="3"/>
  <c r="G15" i="3"/>
  <c r="F15" i="3"/>
  <c r="E15" i="3"/>
  <c r="D15" i="3"/>
  <c r="C15" i="3"/>
  <c r="H14" i="3"/>
  <c r="G14" i="3"/>
  <c r="F14" i="3"/>
  <c r="H12" i="3"/>
  <c r="G12" i="3"/>
  <c r="F12" i="3"/>
  <c r="E12" i="3"/>
  <c r="D12" i="3"/>
  <c r="C12" i="3"/>
  <c r="H11" i="3"/>
  <c r="G11" i="3"/>
  <c r="F11" i="3"/>
  <c r="H9" i="3"/>
  <c r="G9" i="3"/>
  <c r="F9" i="3"/>
  <c r="E9" i="3"/>
  <c r="D9" i="3"/>
  <c r="C9" i="3"/>
  <c r="H8" i="3"/>
  <c r="G8" i="3"/>
  <c r="F8" i="3"/>
  <c r="H6" i="3"/>
  <c r="G6" i="3"/>
  <c r="F6" i="3"/>
  <c r="E6" i="3"/>
  <c r="D6" i="3"/>
  <c r="C6" i="3"/>
  <c r="H5" i="3"/>
  <c r="G5" i="3"/>
  <c r="F5" i="3"/>
  <c r="H3" i="3"/>
  <c r="G3" i="3"/>
  <c r="F3" i="3"/>
  <c r="E23" i="2"/>
  <c r="D23" i="2"/>
  <c r="B20" i="2"/>
  <c r="B17" i="2"/>
  <c r="B9" i="2"/>
  <c r="B4" i="2"/>
  <c r="B3" i="2"/>
  <c r="B2" i="2"/>
</calcChain>
</file>

<file path=xl/sharedStrings.xml><?xml version="1.0" encoding="utf-8"?>
<sst xmlns="http://schemas.openxmlformats.org/spreadsheetml/2006/main" count="226" uniqueCount="189">
  <si>
    <t>AI-Driven Financial Analytics Platform</t>
  </si>
  <si>
    <t>ESG Investment Decision Framework</t>
  </si>
  <si>
    <t>Company:             Apple Inc. (AAPL)</t>
  </si>
  <si>
    <t>Sector:                   Technology</t>
  </si>
  <si>
    <t>Model Type:         3-Statement + DCF Valuation</t>
  </si>
  <si>
    <t>Base Year:             FY2023</t>
  </si>
  <si>
    <t>Projection:            FY2024E - FY2026E</t>
  </si>
  <si>
    <t>Prepared By:        Vansh Goyal</t>
  </si>
  <si>
    <t>Date:                      22 March 2026</t>
  </si>
  <si>
    <t>REVENUE ASSUMPTIONS</t>
  </si>
  <si>
    <t>Revenue Growth - FY2024E</t>
  </si>
  <si>
    <t>Revenue Growth - FY2025E</t>
  </si>
  <si>
    <t>Revenue Growth - FY2026E</t>
  </si>
  <si>
    <t>MARGIN ASSUMPTIONS</t>
  </si>
  <si>
    <t>Gross Margin%</t>
  </si>
  <si>
    <t>EBITDA Margin%</t>
  </si>
  <si>
    <t>Net Income Margin%</t>
  </si>
  <si>
    <t>BALANCE SHEET ASSUMPTIONS</t>
  </si>
  <si>
    <t>CAPEX as % of Revenue</t>
  </si>
  <si>
    <t>D&amp;A as % of Revenue</t>
  </si>
  <si>
    <t>Change in Working Capital%</t>
  </si>
  <si>
    <t>DCF ASSUMPTIONS</t>
  </si>
  <si>
    <t>WACC (Discount Rate)</t>
  </si>
  <si>
    <t>Terminal Growth Rate</t>
  </si>
  <si>
    <t>ESG Discount Adjustment</t>
  </si>
  <si>
    <t>ESG - Adjusted WACC</t>
  </si>
  <si>
    <t>SCENARIO TOGGLE</t>
  </si>
  <si>
    <t>Active Scenario (1=Bear, 2=Base , 3=Bull)</t>
  </si>
  <si>
    <t>Metric</t>
  </si>
  <si>
    <t>FY2021A</t>
  </si>
  <si>
    <t>FY2022A</t>
  </si>
  <si>
    <t>FY2023A</t>
  </si>
  <si>
    <t>FY2024E</t>
  </si>
  <si>
    <t>FY2025E</t>
  </si>
  <si>
    <t>FY2026E</t>
  </si>
  <si>
    <t>Gross Profit ($mn)</t>
  </si>
  <si>
    <t>Revenue ($mn)</t>
  </si>
  <si>
    <t>Gross Margin %</t>
  </si>
  <si>
    <t>EBITDA ($mn)</t>
  </si>
  <si>
    <t>EBITDA Margin %</t>
  </si>
  <si>
    <t>D&amp;A ($mn)</t>
  </si>
  <si>
    <t>EBIT ($mn)</t>
  </si>
  <si>
    <t>Net Income ($mn)</t>
  </si>
  <si>
    <t>Net Margin %</t>
  </si>
  <si>
    <t>EPS ($)</t>
  </si>
  <si>
    <t>Add: D&amp;A ($mn)</t>
  </si>
  <si>
    <t>Less: Capex ($mn)</t>
  </si>
  <si>
    <t>Less: Change in Working Capital ($mn)</t>
  </si>
  <si>
    <t>Free Cash Flow ($mn)</t>
  </si>
  <si>
    <t>FCF Margin %</t>
  </si>
  <si>
    <t>SECTION 1: PROJECTED FREE CASH FLOWS</t>
  </si>
  <si>
    <t>Year Label</t>
  </si>
  <si>
    <t>Free Cash Flow</t>
  </si>
  <si>
    <t>Discount Factor</t>
  </si>
  <si>
    <t>PV of FCF</t>
  </si>
  <si>
    <t>SECTION 2: TERMINAL VALUE</t>
  </si>
  <si>
    <t>Terminal Year FCF</t>
  </si>
  <si>
    <t>WACC (ESG-Adjusted)</t>
  </si>
  <si>
    <t>Terminal Value</t>
  </si>
  <si>
    <t>PV of Terminal Value</t>
  </si>
  <si>
    <t>SECTION 3: VALUATION SUMMARY</t>
  </si>
  <si>
    <t>Sum of PV (FCFs)</t>
  </si>
  <si>
    <t>Enterprise Value ($mn)</t>
  </si>
  <si>
    <t>Less: Net Debt ($mn)</t>
  </si>
  <si>
    <t>Equity Value ($mn)</t>
  </si>
  <si>
    <t>Shares Oustanding (mn)</t>
  </si>
  <si>
    <t>Implied Share Price</t>
  </si>
  <si>
    <t>Current Price (FY2023)</t>
  </si>
  <si>
    <t>Upside / Downside%</t>
  </si>
  <si>
    <t>SCENARIO ANALYSIS</t>
  </si>
  <si>
    <t>Scenario</t>
  </si>
  <si>
    <t>Rev Growth</t>
  </si>
  <si>
    <t>Net Margin</t>
  </si>
  <si>
    <t>WACC</t>
  </si>
  <si>
    <t>Implied Price</t>
  </si>
  <si>
    <t>Bear Case</t>
  </si>
  <si>
    <t>Base Case</t>
  </si>
  <si>
    <t>Bull Case</t>
  </si>
  <si>
    <t>WACC Input</t>
  </si>
  <si>
    <t>Terminal Grwoth Input</t>
  </si>
  <si>
    <t>Cash &amp; Cash Equivalents ($mn)</t>
  </si>
  <si>
    <t>Total Current Assets ($mn)</t>
  </si>
  <si>
    <t>Total Assets ($mn)</t>
  </si>
  <si>
    <t>LIABILITIES</t>
  </si>
  <si>
    <t>ASSETS</t>
  </si>
  <si>
    <t>Total Debt ($mn)</t>
  </si>
  <si>
    <t>Total Liabilities ($mn)</t>
  </si>
  <si>
    <t>EQUITY</t>
  </si>
  <si>
    <t>Total Equity ($mn)</t>
  </si>
  <si>
    <t>KEY RATIOS</t>
  </si>
  <si>
    <t>Debt/Asset Ratio</t>
  </si>
  <si>
    <t xml:space="preserve">Equity Multiplier </t>
  </si>
  <si>
    <t>SCENARIO INPUTS (DO NOT EDIT - auto-feeds model)</t>
  </si>
  <si>
    <t>Parameter</t>
  </si>
  <si>
    <t>Rev Growth Y1</t>
  </si>
  <si>
    <t>Rev Growth Y2</t>
  </si>
  <si>
    <t>Rev Growth Y3</t>
  </si>
  <si>
    <t>Net Income Margin</t>
  </si>
  <si>
    <t>Bear</t>
  </si>
  <si>
    <t>Base</t>
  </si>
  <si>
    <t>Bull</t>
  </si>
  <si>
    <t>ESG-Integrated Peer Comparison - Coverage Universe (FY2023)</t>
  </si>
  <si>
    <t>Source: SQL Data Warehouse + Python ESG Scoring Engine + AAPL DCF Model</t>
  </si>
  <si>
    <t>Ticker</t>
  </si>
  <si>
    <t>Company</t>
  </si>
  <si>
    <t>Sector</t>
  </si>
  <si>
    <t>ESG Rating</t>
  </si>
  <si>
    <t>ESG Score</t>
  </si>
  <si>
    <t>Carbon Intensity</t>
  </si>
  <si>
    <t>Revenue $mn</t>
  </si>
  <si>
    <t>EBITDA Mragin %</t>
  </si>
  <si>
    <t>2yr CAGR %</t>
  </si>
  <si>
    <t>WACC Used %</t>
  </si>
  <si>
    <t>ESG WACC Adj %</t>
  </si>
  <si>
    <t>Adj WACC %</t>
  </si>
  <si>
    <t>Implied Upside %</t>
  </si>
  <si>
    <t>Investment Tier</t>
  </si>
  <si>
    <t>Analyst View</t>
  </si>
  <si>
    <t>MSFT</t>
  </si>
  <si>
    <t>Technology</t>
  </si>
  <si>
    <t>AAA</t>
  </si>
  <si>
    <t>Buy</t>
  </si>
  <si>
    <t>Microsoft Corporation</t>
  </si>
  <si>
    <t>Strong Buy</t>
  </si>
  <si>
    <t>Premium ESG +Financials justify valuation</t>
  </si>
  <si>
    <t>AAPL</t>
  </si>
  <si>
    <t>Apple Inc.</t>
  </si>
  <si>
    <t>DCF suggests overvaluation despite strong ESG</t>
  </si>
  <si>
    <t>NEE</t>
  </si>
  <si>
    <t>NextEra Energy Inc.</t>
  </si>
  <si>
    <t xml:space="preserve">Utilities </t>
  </si>
  <si>
    <t>Clean energy leader, Strong ESG-driven growth</t>
  </si>
  <si>
    <t>UL</t>
  </si>
  <si>
    <t xml:space="preserve">Unilever PLC </t>
  </si>
  <si>
    <t xml:space="preserve">Consumer Staples </t>
  </si>
  <si>
    <t>AA</t>
  </si>
  <si>
    <t>Stable ESG profile, limited near-term upside</t>
  </si>
  <si>
    <t>JNJ</t>
  </si>
  <si>
    <t>Johnson &amp; Johnson</t>
  </si>
  <si>
    <t>Healthcare</t>
  </si>
  <si>
    <t xml:space="preserve">Pharma spinoff impact; ESG stable, growth uncertain </t>
  </si>
  <si>
    <t>JPM</t>
  </si>
  <si>
    <t>JPMorgan Chase &amp; Co.</t>
  </si>
  <si>
    <t>Financials</t>
  </si>
  <si>
    <t>Strong financials offset moderate ESG score</t>
  </si>
  <si>
    <t>AMZN</t>
  </si>
  <si>
    <t>Amazon.com INC.</t>
  </si>
  <si>
    <t>Consumer Discr.</t>
  </si>
  <si>
    <t>A</t>
  </si>
  <si>
    <t>Underperform</t>
  </si>
  <si>
    <t>Improving ESG trend but thin margins concern</t>
  </si>
  <si>
    <t>TSLA</t>
  </si>
  <si>
    <t xml:space="preserve">Tesla Inc. </t>
  </si>
  <si>
    <t>EV growth story; governance concerns cap ESG upside</t>
  </si>
  <si>
    <t>CVX</t>
  </si>
  <si>
    <t xml:space="preserve">Chevron Corporation </t>
  </si>
  <si>
    <t>Energy</t>
  </si>
  <si>
    <t>BBB</t>
  </si>
  <si>
    <t>High carbon intensity; ESG risk premium applied</t>
  </si>
  <si>
    <t>XOM</t>
  </si>
  <si>
    <t>Exxon Mobil Corporation</t>
  </si>
  <si>
    <t>Highest carbon intensity; ESG headwinds structural</t>
  </si>
  <si>
    <t>Summary Statistics</t>
  </si>
  <si>
    <t>ESG Leaders (AAA/AA)</t>
  </si>
  <si>
    <t xml:space="preserve">Avg ESG Score </t>
  </si>
  <si>
    <t>Avg Adj WACC</t>
  </si>
  <si>
    <t>Companies with Upside</t>
  </si>
  <si>
    <t>Avg Net Margin</t>
  </si>
  <si>
    <t>Hold</t>
  </si>
  <si>
    <t>ESG-ADJUSTED WACC METHODOLOGY</t>
  </si>
  <si>
    <t>AAA → -0.75% (lowest risk)</t>
  </si>
  <si>
    <t>ESG Rating → WACC Adjustment:</t>
  </si>
  <si>
    <t>AA → -0.25% (low risk)</t>
  </si>
  <si>
    <t>A → 0.00% (neutral)</t>
  </si>
  <si>
    <t>BBB → +0.50% (elevated risk)</t>
  </si>
  <si>
    <t>BB → +0.75% (high risk)</t>
  </si>
  <si>
    <t>B → +1.00% (very high risk)</t>
  </si>
  <si>
    <t>Risk Premium Framework</t>
  </si>
  <si>
    <t xml:space="preserve">Source: Adapted from MSCI ESG </t>
  </si>
  <si>
    <t>AI SCORING METHODOLOGY</t>
  </si>
  <si>
    <t xml:space="preserve">                          </t>
  </si>
  <si>
    <t xml:space="preserve">Financial Pillar  (35%): </t>
  </si>
  <si>
    <t xml:space="preserve"> Net Margin, EBITDA Margin,Free Cash Flow, ROE</t>
  </si>
  <si>
    <t xml:space="preserve">ESG Pillar        (40%):  </t>
  </si>
  <si>
    <t>Composite ESG Score, Carbon Intensity, 2024 ESG Prediction,ESG Momentum Trend</t>
  </si>
  <si>
    <t xml:space="preserve">Sentiment Pillar  (25%):  </t>
  </si>
  <si>
    <t>VADER NLP analysis of financial news headlines (6 per company)</t>
  </si>
  <si>
    <t>Model:</t>
  </si>
  <si>
    <t xml:space="preserve"> Rule-based weighted scoring with Linear Regression ESG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</si>
</sst>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0.00\x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6"/>
      <color rgb="FFFFD7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2">
    <xf numFmtId="0" fontId="0" fillId="0" borderId="0" xfId="0"/>
    <xf numFmtId="10" fontId="0" fillId="0" borderId="0" xfId="0" applyNumberFormat="1"/>
    <xf numFmtId="0" fontId="1" fillId="2" borderId="0" xfId="0" applyFont="1" applyFill="1"/>
    <xf numFmtId="9" fontId="0" fillId="0" borderId="0" xfId="2" applyFont="1"/>
    <xf numFmtId="164" fontId="0" fillId="0" borderId="0" xfId="2" applyNumberFormat="1" applyFont="1"/>
    <xf numFmtId="0" fontId="3" fillId="3" borderId="0" xfId="0" applyFont="1" applyFill="1"/>
    <xf numFmtId="0" fontId="5" fillId="3" borderId="0" xfId="0" applyFont="1" applyFill="1"/>
    <xf numFmtId="165" fontId="0" fillId="0" borderId="0" xfId="1" applyNumberFormat="1" applyFont="1"/>
    <xf numFmtId="10" fontId="0" fillId="0" borderId="0" xfId="2" applyNumberFormat="1" applyFont="1"/>
    <xf numFmtId="43" fontId="0" fillId="0" borderId="0" xfId="0" applyNumberFormat="1"/>
    <xf numFmtId="0" fontId="7" fillId="0" borderId="0" xfId="0" applyFont="1"/>
    <xf numFmtId="165" fontId="7" fillId="0" borderId="0" xfId="1" applyNumberFormat="1" applyFont="1"/>
    <xf numFmtId="165" fontId="7" fillId="0" borderId="0" xfId="0" applyNumberFormat="1" applyFont="1"/>
    <xf numFmtId="43" fontId="7" fillId="0" borderId="0" xfId="0" applyNumberFormat="1" applyFont="1"/>
    <xf numFmtId="0" fontId="6" fillId="4" borderId="0" xfId="0" applyFont="1" applyFill="1"/>
    <xf numFmtId="10" fontId="6" fillId="4" borderId="0" xfId="2" applyNumberFormat="1" applyFont="1" applyFill="1"/>
    <xf numFmtId="0" fontId="1" fillId="0" borderId="0" xfId="0" applyFont="1"/>
    <xf numFmtId="165" fontId="1" fillId="0" borderId="0" xfId="1" applyNumberFormat="1" applyFont="1"/>
    <xf numFmtId="165" fontId="1" fillId="0" borderId="0" xfId="0" applyNumberFormat="1" applyFont="1"/>
    <xf numFmtId="43" fontId="1" fillId="0" borderId="0" xfId="0" applyNumberFormat="1" applyFont="1"/>
    <xf numFmtId="9" fontId="7" fillId="0" borderId="0" xfId="2" applyFont="1"/>
    <xf numFmtId="2" fontId="0" fillId="0" borderId="0" xfId="0" applyNumberFormat="1"/>
    <xf numFmtId="164" fontId="7" fillId="0" borderId="0" xfId="2" applyNumberFormat="1" applyFont="1"/>
    <xf numFmtId="166" fontId="0" fillId="0" borderId="0" xfId="0" applyNumberFormat="1"/>
    <xf numFmtId="0" fontId="4" fillId="2" borderId="0" xfId="0" applyFont="1" applyFill="1"/>
    <xf numFmtId="165" fontId="4" fillId="2" borderId="0" xfId="1" applyNumberFormat="1" applyFont="1" applyFill="1"/>
    <xf numFmtId="0" fontId="0" fillId="5" borderId="0" xfId="0" applyFill="1"/>
    <xf numFmtId="0" fontId="0" fillId="6" borderId="0" xfId="0" applyFill="1"/>
    <xf numFmtId="0" fontId="3" fillId="5" borderId="0" xfId="0" applyFont="1" applyFill="1" applyAlignment="1">
      <alignment horizontal="left" indent="12"/>
    </xf>
    <xf numFmtId="164" fontId="0" fillId="0" borderId="0" xfId="2" applyNumberFormat="1" applyFont="1" applyProtection="1">
      <protection locked="0"/>
    </xf>
    <xf numFmtId="0" fontId="7" fillId="8" borderId="0" xfId="2" applyNumberFormat="1" applyFont="1" applyFill="1" applyProtection="1">
      <protection locked="0"/>
    </xf>
    <xf numFmtId="10" fontId="7" fillId="0" borderId="0" xfId="0" applyNumberFormat="1" applyFont="1"/>
    <xf numFmtId="0" fontId="13" fillId="0" borderId="0" xfId="0" applyFont="1"/>
    <xf numFmtId="9" fontId="7" fillId="0" borderId="0" xfId="0" applyNumberFormat="1" applyFont="1"/>
    <xf numFmtId="0" fontId="0" fillId="4" borderId="9" xfId="0" applyFill="1" applyBorder="1"/>
    <xf numFmtId="0" fontId="0" fillId="4" borderId="9" xfId="0" applyFill="1" applyBorder="1" applyAlignment="1">
      <alignment wrapText="1"/>
    </xf>
    <xf numFmtId="0" fontId="0" fillId="4" borderId="9" xfId="0" applyFill="1" applyBorder="1" applyAlignment="1">
      <alignment horizontal="center" wrapText="1"/>
    </xf>
    <xf numFmtId="0" fontId="0" fillId="4" borderId="9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">
    <dxf>
      <fill>
        <patternFill>
          <bgColor rgb="FFFFFF66"/>
        </patternFill>
      </fill>
    </dxf>
    <dxf>
      <fill>
        <patternFill>
          <bgColor rgb="FFFF9933"/>
        </patternFill>
      </fill>
    </dxf>
    <dxf>
      <fill>
        <patternFill>
          <bgColor rgb="FF66FF66"/>
        </patternFill>
      </fill>
    </dxf>
    <dxf>
      <fill>
        <patternFill>
          <bgColor rgb="FF00800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ill>
        <patternFill>
          <bgColor rgb="FF33CC33"/>
        </patternFill>
      </fill>
    </dxf>
  </dxfs>
  <tableStyles count="0" defaultTableStyle="TableStyleMedium2" defaultPivotStyle="PivotStyleLight16"/>
  <colors>
    <mruColors>
      <color rgb="FFFF5050"/>
      <color rgb="FF008000"/>
      <color rgb="FF33CC33"/>
      <color rgb="FFFFFF66"/>
      <color rgb="FFFF9933"/>
      <color rgb="FF66FF66"/>
      <color rgb="FF1F3864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ESG Score by Company - Coverage Universe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Peer_Comparison!$F$6</c:f>
              <c:strCache>
                <c:ptCount val="1"/>
                <c:pt idx="0">
                  <c:v>ESG Score</c:v>
                </c:pt>
              </c:strCache>
            </c:strRef>
          </c:tx>
          <c:spPr>
            <a:gradFill flip="none" rotWithShape="1">
              <a:gsLst>
                <a:gs pos="51000">
                  <a:srgbClr val="D6E6F5"/>
                </a:gs>
                <a:gs pos="0">
                  <a:srgbClr val="008000"/>
                </a:gs>
                <a:gs pos="100000">
                  <a:srgbClr val="FF5050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cat>
            <c:strRef>
              <c:f>Peer_Comparison!$C$7:$C$16</c:f>
              <c:strCache>
                <c:ptCount val="10"/>
                <c:pt idx="0">
                  <c:v>Microsoft Corporation</c:v>
                </c:pt>
                <c:pt idx="1">
                  <c:v>Apple Inc.</c:v>
                </c:pt>
                <c:pt idx="2">
                  <c:v>NextEra Energy Inc.</c:v>
                </c:pt>
                <c:pt idx="3">
                  <c:v>Unilever PLC </c:v>
                </c:pt>
                <c:pt idx="4">
                  <c:v>Johnson &amp; Johnson</c:v>
                </c:pt>
                <c:pt idx="5">
                  <c:v>JPMorgan Chase &amp; Co.</c:v>
                </c:pt>
                <c:pt idx="6">
                  <c:v>Amazon.com INC.</c:v>
                </c:pt>
                <c:pt idx="7">
                  <c:v>Tesla Inc. </c:v>
                </c:pt>
                <c:pt idx="8">
                  <c:v>Chevron Corporation </c:v>
                </c:pt>
                <c:pt idx="9">
                  <c:v>Exxon Mobil Corporation</c:v>
                </c:pt>
              </c:strCache>
            </c:strRef>
          </c:cat>
          <c:val>
            <c:numRef>
              <c:f>Peer_Comparison!$F$7:$F$16</c:f>
              <c:numCache>
                <c:formatCode>General</c:formatCode>
                <c:ptCount val="10"/>
                <c:pt idx="0">
                  <c:v>88.4</c:v>
                </c:pt>
                <c:pt idx="1">
                  <c:v>84.5</c:v>
                </c:pt>
                <c:pt idx="2">
                  <c:v>83.2</c:v>
                </c:pt>
                <c:pt idx="3">
                  <c:v>77.7</c:v>
                </c:pt>
                <c:pt idx="4">
                  <c:v>70.900000000000006</c:v>
                </c:pt>
                <c:pt idx="5">
                  <c:v>65.400000000000006</c:v>
                </c:pt>
                <c:pt idx="6">
                  <c:v>57.8</c:v>
                </c:pt>
                <c:pt idx="7">
                  <c:v>53.5</c:v>
                </c:pt>
                <c:pt idx="8">
                  <c:v>44</c:v>
                </c:pt>
                <c:pt idx="9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7-4734-83DE-9250BE7B7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827487"/>
        <c:axId val="612831807"/>
      </c:barChart>
      <c:catAx>
        <c:axId val="6128274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31807"/>
        <c:crosses val="autoZero"/>
        <c:auto val="1"/>
        <c:lblAlgn val="ctr"/>
        <c:lblOffset val="100"/>
        <c:noMultiLvlLbl val="0"/>
      </c:catAx>
      <c:valAx>
        <c:axId val="6128318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632732</xdr:colOff>
      <xdr:row>24</xdr:row>
      <xdr:rowOff>27667</xdr:rowOff>
    </xdr:from>
    <xdr:to>
      <xdr:col>11</xdr:col>
      <xdr:colOff>700768</xdr:colOff>
      <xdr:row>40</xdr:row>
      <xdr:rowOff>24946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EC85F-6AAC-CF8C-6BB5-ED3BF7B3F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H13"/>
  <sheetViews>
    <sheetView showGridLines="0" zoomScaleNormal="100" workbookViewId="0">
      <selection activeCell="L17" sqref="L17"/>
    </sheetView>
  </sheetViews>
  <sheetFormatPr defaultRowHeight="14.5" x14ac:dyDescent="0.35"/>
  <cols>
    <col min="1" max="1" width="8.7265625" style="26"/>
    <col min="2" max="2" width="8.7265625" style="26" customWidth="1"/>
    <col min="3" max="16384" width="8.7265625" style="26"/>
  </cols>
  <sheetData>
    <row r="2" spans="2:8" ht="26" x14ac:dyDescent="0.6">
      <c r="B2" s="49" t="s">
        <v>0</v>
      </c>
      <c r="C2" s="49"/>
      <c r="D2" s="49"/>
      <c r="E2" s="49"/>
      <c r="F2" s="49"/>
      <c r="G2" s="49"/>
      <c r="H2" s="49"/>
    </row>
    <row r="3" spans="2:8" ht="21" x14ac:dyDescent="0.5">
      <c r="B3" s="50" t="s">
        <v>1</v>
      </c>
      <c r="C3" s="50"/>
      <c r="D3" s="50"/>
      <c r="E3" s="50"/>
      <c r="F3" s="50"/>
      <c r="G3" s="50"/>
      <c r="H3" s="50"/>
    </row>
    <row r="4" spans="2:8" s="27" customFormat="1" ht="3" customHeight="1" x14ac:dyDescent="0.35"/>
    <row r="5" spans="2:8" x14ac:dyDescent="0.35">
      <c r="B5" s="51" t="s">
        <v>2</v>
      </c>
      <c r="C5" s="51"/>
      <c r="D5" s="51"/>
      <c r="E5" s="51"/>
      <c r="F5" s="51"/>
      <c r="G5" s="51"/>
      <c r="H5" s="51"/>
    </row>
    <row r="6" spans="2:8" x14ac:dyDescent="0.35">
      <c r="B6" s="28" t="s">
        <v>3</v>
      </c>
    </row>
    <row r="7" spans="2:8" x14ac:dyDescent="0.35">
      <c r="B7" s="28" t="s">
        <v>4</v>
      </c>
    </row>
    <row r="8" spans="2:8" x14ac:dyDescent="0.35">
      <c r="B8" s="28" t="s">
        <v>5</v>
      </c>
    </row>
    <row r="9" spans="2:8" x14ac:dyDescent="0.35">
      <c r="B9" s="28" t="s">
        <v>6</v>
      </c>
    </row>
    <row r="10" spans="2:8" x14ac:dyDescent="0.35">
      <c r="B10" s="28" t="s">
        <v>7</v>
      </c>
    </row>
    <row r="11" spans="2:8" x14ac:dyDescent="0.35">
      <c r="B11" s="28" t="s">
        <v>8</v>
      </c>
    </row>
    <row r="13" spans="2:8" s="27" customFormat="1" ht="3" customHeight="1" x14ac:dyDescent="0.35"/>
  </sheetData>
  <mergeCells count="3">
    <mergeCell ref="B2:H2"/>
    <mergeCell ref="B3:H3"/>
    <mergeCell ref="B5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C772-264C-4FF0-84E8-F8C03D0963C0}">
  <sheetPr>
    <tabColor theme="5" tint="0.39997558519241921"/>
  </sheetPr>
  <dimension ref="A1:E34"/>
  <sheetViews>
    <sheetView showGridLines="0" zoomScale="60" zoomScaleNormal="60" workbookViewId="0">
      <selection activeCell="F27" sqref="F27"/>
    </sheetView>
  </sheetViews>
  <sheetFormatPr defaultRowHeight="14.5" x14ac:dyDescent="0.35"/>
  <cols>
    <col min="1" max="1" width="47.6328125" bestFit="1" customWidth="1"/>
    <col min="2" max="2" width="8.7265625" style="4"/>
    <col min="4" max="4" width="20" bestFit="1" customWidth="1"/>
    <col min="5" max="5" width="19.6328125" bestFit="1" customWidth="1"/>
  </cols>
  <sheetData>
    <row r="1" spans="1:2" x14ac:dyDescent="0.35">
      <c r="A1" s="2" t="s">
        <v>9</v>
      </c>
    </row>
    <row r="2" spans="1:2" x14ac:dyDescent="0.35">
      <c r="A2" s="10" t="s">
        <v>10</v>
      </c>
      <c r="B2" s="22">
        <f>CHOOSE($B$23, B30, C30, D30)</f>
        <v>0.02</v>
      </c>
    </row>
    <row r="3" spans="1:2" x14ac:dyDescent="0.35">
      <c r="A3" s="10" t="s">
        <v>11</v>
      </c>
      <c r="B3" s="22">
        <f>CHOOSE($B$23, B31, C31, D31)</f>
        <v>0.02</v>
      </c>
    </row>
    <row r="4" spans="1:2" x14ac:dyDescent="0.35">
      <c r="A4" s="10" t="s">
        <v>12</v>
      </c>
      <c r="B4" s="22">
        <f>CHOOSE($B$23, B32, C32, D32)</f>
        <v>0.02</v>
      </c>
    </row>
    <row r="6" spans="1:2" x14ac:dyDescent="0.35">
      <c r="A6" s="2" t="s">
        <v>13</v>
      </c>
    </row>
    <row r="7" spans="1:2" x14ac:dyDescent="0.35">
      <c r="A7" s="10" t="s">
        <v>14</v>
      </c>
      <c r="B7" s="22">
        <v>0.441</v>
      </c>
    </row>
    <row r="8" spans="1:2" x14ac:dyDescent="0.35">
      <c r="A8" s="10" t="s">
        <v>15</v>
      </c>
      <c r="B8" s="22">
        <v>0.32100000000000001</v>
      </c>
    </row>
    <row r="9" spans="1:2" x14ac:dyDescent="0.35">
      <c r="A9" s="10" t="s">
        <v>16</v>
      </c>
      <c r="B9" s="22">
        <f>CHOOSE($B$23, B33, C33, D33)</f>
        <v>0.22</v>
      </c>
    </row>
    <row r="11" spans="1:2" x14ac:dyDescent="0.35">
      <c r="A11" s="2" t="s">
        <v>17</v>
      </c>
    </row>
    <row r="12" spans="1:2" x14ac:dyDescent="0.35">
      <c r="A12" s="10" t="s">
        <v>18</v>
      </c>
      <c r="B12" s="22">
        <v>2.8000000000000001E-2</v>
      </c>
    </row>
    <row r="13" spans="1:2" x14ac:dyDescent="0.35">
      <c r="A13" s="10" t="s">
        <v>19</v>
      </c>
      <c r="B13" s="22">
        <v>2.5000000000000001E-2</v>
      </c>
    </row>
    <row r="14" spans="1:2" x14ac:dyDescent="0.35">
      <c r="A14" s="10" t="s">
        <v>20</v>
      </c>
      <c r="B14" s="22">
        <v>1.2E-2</v>
      </c>
    </row>
    <row r="16" spans="1:2" x14ac:dyDescent="0.35">
      <c r="A16" s="2" t="s">
        <v>21</v>
      </c>
    </row>
    <row r="17" spans="1:5" x14ac:dyDescent="0.35">
      <c r="A17" s="10" t="s">
        <v>22</v>
      </c>
      <c r="B17" s="22">
        <f>CHOOSE($B$23, B34, C34, D34)</f>
        <v>0.105</v>
      </c>
    </row>
    <row r="18" spans="1:5" x14ac:dyDescent="0.35">
      <c r="A18" s="10" t="s">
        <v>23</v>
      </c>
      <c r="B18" s="22">
        <v>0.03</v>
      </c>
    </row>
    <row r="19" spans="1:5" x14ac:dyDescent="0.35">
      <c r="A19" s="10" t="s">
        <v>24</v>
      </c>
      <c r="B19" s="22">
        <v>-5.0000000000000001E-3</v>
      </c>
    </row>
    <row r="20" spans="1:5" x14ac:dyDescent="0.35">
      <c r="A20" s="10" t="s">
        <v>25</v>
      </c>
      <c r="B20" s="22">
        <f>B17+B19</f>
        <v>9.9999999999999992E-2</v>
      </c>
    </row>
    <row r="22" spans="1:5" x14ac:dyDescent="0.35">
      <c r="A22" s="2" t="s">
        <v>26</v>
      </c>
    </row>
    <row r="23" spans="1:5" x14ac:dyDescent="0.35">
      <c r="A23" s="10" t="s">
        <v>27</v>
      </c>
      <c r="B23" s="30">
        <v>1</v>
      </c>
      <c r="D23" t="str">
        <f>CHOOSE(B23, "🐻 BEAR CASE ACTIVE", "📊 BASE CASE ACTIVE", "🐂 BULL CASE ACTIVE")</f>
        <v>🐻 BEAR CASE ACTIVE</v>
      </c>
      <c r="E23" t="str">
        <f>"Implied Price: $"&amp;TEXT(DCF_Valuation!B24,"0.00")</f>
        <v>Implied Price: $80.38</v>
      </c>
    </row>
    <row r="27" spans="1:5" x14ac:dyDescent="0.35">
      <c r="A27" s="2" t="s">
        <v>92</v>
      </c>
    </row>
    <row r="29" spans="1:5" x14ac:dyDescent="0.35">
      <c r="A29" t="s">
        <v>93</v>
      </c>
      <c r="B29" s="4" t="s">
        <v>98</v>
      </c>
      <c r="C29" t="s">
        <v>99</v>
      </c>
      <c r="D29" t="s">
        <v>100</v>
      </c>
    </row>
    <row r="30" spans="1:5" x14ac:dyDescent="0.35">
      <c r="A30" t="s">
        <v>94</v>
      </c>
      <c r="B30" s="29">
        <v>0.02</v>
      </c>
      <c r="C30" s="29">
        <v>0.04</v>
      </c>
      <c r="D30" s="29">
        <v>0.09</v>
      </c>
    </row>
    <row r="31" spans="1:5" x14ac:dyDescent="0.35">
      <c r="A31" t="s">
        <v>95</v>
      </c>
      <c r="B31" s="29">
        <v>0.02</v>
      </c>
      <c r="C31" s="29">
        <v>0.06</v>
      </c>
      <c r="D31" s="29">
        <v>0.1</v>
      </c>
    </row>
    <row r="32" spans="1:5" x14ac:dyDescent="0.35">
      <c r="A32" t="s">
        <v>96</v>
      </c>
      <c r="B32" s="29">
        <v>0.02</v>
      </c>
      <c r="C32" s="29">
        <v>7.0000000000000007E-2</v>
      </c>
      <c r="D32" s="29">
        <v>0.12</v>
      </c>
    </row>
    <row r="33" spans="1:4" x14ac:dyDescent="0.35">
      <c r="A33" t="s">
        <v>97</v>
      </c>
      <c r="B33" s="29">
        <v>0.22</v>
      </c>
      <c r="C33" s="29">
        <v>0.253</v>
      </c>
      <c r="D33" s="29">
        <v>0.28000000000000003</v>
      </c>
    </row>
    <row r="34" spans="1:4" x14ac:dyDescent="0.35">
      <c r="A34" t="s">
        <v>73</v>
      </c>
      <c r="B34" s="29">
        <v>0.105</v>
      </c>
      <c r="C34" s="29">
        <v>0.09</v>
      </c>
      <c r="D34" s="29">
        <v>0.08</v>
      </c>
    </row>
  </sheetData>
  <sheetProtection sheet="1" objects="1" scenarios="1"/>
  <phoneticPr fontId="10" type="noConversion"/>
  <pageMargins left="0.7" right="0.7" top="0.75" bottom="0.75" header="0.3" footer="0.3"/>
  <pageSetup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FC26-CFC6-404D-AE55-E8FA7D891DCE}">
  <sheetPr>
    <tabColor theme="9" tint="0.39997558519241921"/>
  </sheetPr>
  <dimension ref="B1:H17"/>
  <sheetViews>
    <sheetView showGridLines="0" zoomScale="60" zoomScaleNormal="60" workbookViewId="0">
      <selection activeCell="I24" sqref="I24"/>
    </sheetView>
  </sheetViews>
  <sheetFormatPr defaultRowHeight="14.5" x14ac:dyDescent="0.35"/>
  <cols>
    <col min="2" max="2" width="16.08984375" bestFit="1" customWidth="1"/>
    <col min="3" max="8" width="11.1796875" bestFit="1" customWidth="1"/>
  </cols>
  <sheetData>
    <row r="1" spans="2:8" x14ac:dyDescent="0.35"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</row>
    <row r="3" spans="2:8" x14ac:dyDescent="0.35">
      <c r="B3" s="16" t="s">
        <v>36</v>
      </c>
      <c r="C3" s="17">
        <v>365817</v>
      </c>
      <c r="D3" s="17">
        <v>394328</v>
      </c>
      <c r="E3" s="17">
        <v>383285</v>
      </c>
      <c r="F3" s="17">
        <f>E3*(1+Assumptions!B2)</f>
        <v>390950.7</v>
      </c>
      <c r="G3" s="17">
        <f>F3*(1+Assumptions!B3)</f>
        <v>398769.71400000004</v>
      </c>
      <c r="H3" s="17">
        <f>G3*(1+Assumptions!B4)</f>
        <v>406745.10828000004</v>
      </c>
    </row>
    <row r="4" spans="2:8" x14ac:dyDescent="0.35">
      <c r="B4" s="16"/>
      <c r="C4" s="16"/>
      <c r="D4" s="16"/>
      <c r="E4" s="16"/>
      <c r="F4" s="16"/>
      <c r="G4" s="16"/>
      <c r="H4" s="16"/>
    </row>
    <row r="5" spans="2:8" x14ac:dyDescent="0.35">
      <c r="B5" s="16" t="s">
        <v>35</v>
      </c>
      <c r="C5" s="17">
        <v>152836</v>
      </c>
      <c r="D5" s="17">
        <v>170782</v>
      </c>
      <c r="E5" s="17">
        <v>169148</v>
      </c>
      <c r="F5" s="17">
        <f>F3*Assumptions!B7</f>
        <v>172409.25870000001</v>
      </c>
      <c r="G5" s="17">
        <f>G3*Assumptions!B7</f>
        <v>175857.44387400002</v>
      </c>
      <c r="H5" s="17">
        <f>H3*Assumptions!B7</f>
        <v>179374.59275148003</v>
      </c>
    </row>
    <row r="6" spans="2:8" x14ac:dyDescent="0.35">
      <c r="B6" s="14" t="s">
        <v>37</v>
      </c>
      <c r="C6" s="15">
        <f t="shared" ref="C6:H6" si="0">C5/C3</f>
        <v>0.41779359625167778</v>
      </c>
      <c r="D6" s="15">
        <f t="shared" si="0"/>
        <v>0.43309630561360085</v>
      </c>
      <c r="E6" s="15">
        <f t="shared" si="0"/>
        <v>0.44131129577207562</v>
      </c>
      <c r="F6" s="15">
        <f t="shared" si="0"/>
        <v>0.441</v>
      </c>
      <c r="G6" s="15">
        <f t="shared" si="0"/>
        <v>0.441</v>
      </c>
      <c r="H6" s="15">
        <f t="shared" si="0"/>
        <v>0.441</v>
      </c>
    </row>
    <row r="7" spans="2:8" x14ac:dyDescent="0.35">
      <c r="B7" s="10"/>
      <c r="C7" s="10"/>
      <c r="D7" s="10"/>
      <c r="E7" s="10"/>
      <c r="F7" s="10"/>
      <c r="G7" s="10"/>
      <c r="H7" s="10"/>
    </row>
    <row r="8" spans="2:8" x14ac:dyDescent="0.35">
      <c r="B8" s="16" t="s">
        <v>38</v>
      </c>
      <c r="C8" s="17">
        <v>120233</v>
      </c>
      <c r="D8" s="17">
        <v>130541</v>
      </c>
      <c r="E8" s="17">
        <v>123217</v>
      </c>
      <c r="F8" s="17">
        <f>F3*Assumptions!B8</f>
        <v>125495.1747</v>
      </c>
      <c r="G8" s="17">
        <f>G3*Assumptions!B8</f>
        <v>128005.07819400002</v>
      </c>
      <c r="H8" s="17">
        <f>H3*Assumptions!B8</f>
        <v>130565.17975788002</v>
      </c>
    </row>
    <row r="9" spans="2:8" x14ac:dyDescent="0.35">
      <c r="B9" s="14" t="s">
        <v>39</v>
      </c>
      <c r="C9" s="15">
        <f t="shared" ref="C9:H9" si="1">C8/C3</f>
        <v>0.32866979938056462</v>
      </c>
      <c r="D9" s="15">
        <f t="shared" si="1"/>
        <v>0.3310467428130896</v>
      </c>
      <c r="E9" s="15">
        <f t="shared" si="1"/>
        <v>0.32147618612781614</v>
      </c>
      <c r="F9" s="15">
        <f t="shared" si="1"/>
        <v>0.32100000000000001</v>
      </c>
      <c r="G9" s="15">
        <f t="shared" si="1"/>
        <v>0.32100000000000001</v>
      </c>
      <c r="H9" s="15">
        <f t="shared" si="1"/>
        <v>0.32100000000000001</v>
      </c>
    </row>
    <row r="10" spans="2:8" x14ac:dyDescent="0.35">
      <c r="B10" s="10"/>
      <c r="C10" s="10"/>
      <c r="D10" s="10"/>
      <c r="E10" s="10"/>
      <c r="F10" s="10"/>
      <c r="G10" s="10"/>
      <c r="H10" s="10"/>
    </row>
    <row r="11" spans="2:8" x14ac:dyDescent="0.35">
      <c r="B11" s="16" t="s">
        <v>40</v>
      </c>
      <c r="C11" s="17">
        <v>11284</v>
      </c>
      <c r="D11" s="17">
        <v>11104</v>
      </c>
      <c r="E11" s="17">
        <v>11519</v>
      </c>
      <c r="F11" s="17">
        <f>F3*Assumptions!B13</f>
        <v>9773.7674999999999</v>
      </c>
      <c r="G11" s="17">
        <f>G3*Assumptions!B13</f>
        <v>9969.2428500000024</v>
      </c>
      <c r="H11" s="17">
        <f>H3*Assumptions!B13</f>
        <v>10168.627707000001</v>
      </c>
    </row>
    <row r="12" spans="2:8" x14ac:dyDescent="0.35">
      <c r="B12" s="16" t="s">
        <v>41</v>
      </c>
      <c r="C12" s="18">
        <f t="shared" ref="C12:H12" si="2">C8-C11</f>
        <v>108949</v>
      </c>
      <c r="D12" s="18">
        <f t="shared" si="2"/>
        <v>119437</v>
      </c>
      <c r="E12" s="18">
        <f t="shared" si="2"/>
        <v>111698</v>
      </c>
      <c r="F12" s="18">
        <f t="shared" si="2"/>
        <v>115721.4072</v>
      </c>
      <c r="G12" s="18">
        <f t="shared" si="2"/>
        <v>118035.83534400002</v>
      </c>
      <c r="H12" s="18">
        <f t="shared" si="2"/>
        <v>120396.55205088001</v>
      </c>
    </row>
    <row r="13" spans="2:8" x14ac:dyDescent="0.35">
      <c r="B13" s="16"/>
      <c r="C13" s="16"/>
      <c r="D13" s="16"/>
      <c r="E13" s="16"/>
      <c r="F13" s="16"/>
      <c r="G13" s="16"/>
      <c r="H13" s="16"/>
    </row>
    <row r="14" spans="2:8" x14ac:dyDescent="0.35">
      <c r="B14" s="16" t="s">
        <v>42</v>
      </c>
      <c r="C14" s="17">
        <v>94680</v>
      </c>
      <c r="D14" s="17">
        <v>99803</v>
      </c>
      <c r="E14" s="17">
        <v>96995</v>
      </c>
      <c r="F14" s="17">
        <f>F3*Assumptions!B9</f>
        <v>86009.15400000001</v>
      </c>
      <c r="G14" s="17">
        <f>G3*Assumptions!B9</f>
        <v>87729.337080000012</v>
      </c>
      <c r="H14" s="17">
        <f>H3*Assumptions!B9</f>
        <v>89483.923821600009</v>
      </c>
    </row>
    <row r="15" spans="2:8" x14ac:dyDescent="0.35">
      <c r="B15" s="14" t="s">
        <v>43</v>
      </c>
      <c r="C15" s="15">
        <f t="shared" ref="C15:H15" si="3">C14/C3</f>
        <v>0.25881793355694238</v>
      </c>
      <c r="D15" s="15">
        <f t="shared" si="3"/>
        <v>0.25309640705199732</v>
      </c>
      <c r="E15" s="15">
        <f t="shared" si="3"/>
        <v>0.25306234264320282</v>
      </c>
      <c r="F15" s="15">
        <f t="shared" si="3"/>
        <v>0.22000000000000003</v>
      </c>
      <c r="G15" s="15">
        <f t="shared" si="3"/>
        <v>0.22</v>
      </c>
      <c r="H15" s="15">
        <f t="shared" si="3"/>
        <v>0.22</v>
      </c>
    </row>
    <row r="16" spans="2:8" x14ac:dyDescent="0.35">
      <c r="B16" s="10"/>
      <c r="C16" s="10"/>
      <c r="D16" s="10"/>
      <c r="E16" s="10"/>
      <c r="F16" s="10"/>
      <c r="G16" s="10"/>
      <c r="H16" s="10"/>
    </row>
    <row r="17" spans="2:8" x14ac:dyDescent="0.35">
      <c r="B17" s="16" t="s">
        <v>44</v>
      </c>
      <c r="C17" s="16">
        <v>5.61</v>
      </c>
      <c r="D17" s="16">
        <v>6.11</v>
      </c>
      <c r="E17" s="16">
        <v>6.13</v>
      </c>
      <c r="F17" s="19">
        <f>F14/15500</f>
        <v>5.5489776774193551</v>
      </c>
      <c r="G17" s="19">
        <f>G14/15300</f>
        <v>5.7339436000000008</v>
      </c>
      <c r="H17" s="19">
        <f>H14/15100</f>
        <v>5.9260876703046366</v>
      </c>
    </row>
  </sheetData>
  <pageMargins left="0.7" right="0.7" top="0.75" bottom="0.75" header="0.3" footer="0.3"/>
  <pageSetup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B44F-313C-4B0B-8F57-210424ADA64B}">
  <sheetPr>
    <tabColor theme="9" tint="0.39997558519241921"/>
  </sheetPr>
  <dimension ref="B1:H17"/>
  <sheetViews>
    <sheetView showGridLines="0" zoomScale="60" zoomScaleNormal="60" workbookViewId="0">
      <selection activeCell="J18" sqref="J18"/>
    </sheetView>
  </sheetViews>
  <sheetFormatPr defaultRowHeight="14.5" x14ac:dyDescent="0.35"/>
  <cols>
    <col min="2" max="2" width="26.90625" bestFit="1" customWidth="1"/>
    <col min="3" max="8" width="11.1796875" bestFit="1" customWidth="1"/>
  </cols>
  <sheetData>
    <row r="1" spans="2:8" x14ac:dyDescent="0.35"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</row>
    <row r="3" spans="2:8" x14ac:dyDescent="0.35">
      <c r="B3" s="24" t="s">
        <v>84</v>
      </c>
      <c r="C3" s="24"/>
      <c r="D3" s="24"/>
      <c r="E3" s="24"/>
      <c r="F3" s="24"/>
      <c r="G3" s="24"/>
      <c r="H3" s="24"/>
    </row>
    <row r="4" spans="2:8" x14ac:dyDescent="0.35">
      <c r="B4" t="s">
        <v>80</v>
      </c>
      <c r="C4" s="7">
        <v>34940</v>
      </c>
      <c r="D4" s="7">
        <v>23646</v>
      </c>
      <c r="E4" s="7">
        <v>29965</v>
      </c>
      <c r="F4" s="7">
        <f>E4*(1+Assumptions!B2)</f>
        <v>30564.3</v>
      </c>
      <c r="G4" s="7">
        <f>F4*(1+Assumptions!B3)</f>
        <v>31175.585999999999</v>
      </c>
      <c r="H4" s="7">
        <f>G4*(1+Assumptions!B4)</f>
        <v>31799.097720000002</v>
      </c>
    </row>
    <row r="5" spans="2:8" x14ac:dyDescent="0.35">
      <c r="B5" t="s">
        <v>81</v>
      </c>
      <c r="C5" s="7">
        <v>134836</v>
      </c>
      <c r="D5" s="7">
        <v>135405</v>
      </c>
      <c r="E5" s="7">
        <v>143566</v>
      </c>
      <c r="F5" s="7">
        <f>E5*(Income_Statement!F3/Income_Statement!E3)</f>
        <v>146437.32</v>
      </c>
      <c r="G5" s="7">
        <f>F5*(Income_Statement!G3/Income_Statement!F3)</f>
        <v>149366.06640000001</v>
      </c>
      <c r="H5" s="7">
        <f>G5*(Income_Statement!H3/Income_Statement!G3)</f>
        <v>152353.387728</v>
      </c>
    </row>
    <row r="6" spans="2:8" x14ac:dyDescent="0.35">
      <c r="B6" t="s">
        <v>82</v>
      </c>
      <c r="C6" s="7">
        <v>351002</v>
      </c>
      <c r="D6" s="7">
        <v>352755</v>
      </c>
      <c r="E6" s="7">
        <v>352583</v>
      </c>
      <c r="F6" s="7">
        <f>E6*(Income_Statement!F3/Income_Statement!E3)</f>
        <v>359634.66000000003</v>
      </c>
      <c r="G6" s="7">
        <f>F6*(Income_Statement!G3/Income_Statement!F3)</f>
        <v>366827.35320000001</v>
      </c>
      <c r="H6" s="7">
        <f>G6*(Income_Statement!H3/Income_Statement!G3)</f>
        <v>374163.900264</v>
      </c>
    </row>
    <row r="7" spans="2:8" x14ac:dyDescent="0.35">
      <c r="C7" s="7"/>
      <c r="D7" s="7"/>
      <c r="E7" s="7"/>
      <c r="F7" s="7"/>
      <c r="G7" s="7"/>
      <c r="H7" s="7"/>
    </row>
    <row r="8" spans="2:8" x14ac:dyDescent="0.35">
      <c r="B8" s="24" t="s">
        <v>83</v>
      </c>
      <c r="C8" s="25"/>
      <c r="D8" s="25"/>
      <c r="E8" s="25"/>
      <c r="F8" s="25"/>
      <c r="G8" s="25"/>
      <c r="H8" s="25"/>
    </row>
    <row r="9" spans="2:8" x14ac:dyDescent="0.35">
      <c r="B9" t="s">
        <v>85</v>
      </c>
      <c r="C9" s="7">
        <v>124719</v>
      </c>
      <c r="D9" s="7">
        <v>132480</v>
      </c>
      <c r="E9" s="7">
        <v>123930</v>
      </c>
      <c r="F9" s="7">
        <f>E9*0.98</f>
        <v>121451.4</v>
      </c>
      <c r="G9" s="7">
        <f>F9*0.97</f>
        <v>117807.85799999999</v>
      </c>
      <c r="H9" s="7">
        <f>G9*0.96</f>
        <v>113095.54367999999</v>
      </c>
    </row>
    <row r="10" spans="2:8" x14ac:dyDescent="0.35">
      <c r="B10" t="s">
        <v>86</v>
      </c>
      <c r="C10" s="7">
        <v>287912</v>
      </c>
      <c r="D10" s="7">
        <v>302083</v>
      </c>
      <c r="E10" s="7">
        <v>290437</v>
      </c>
      <c r="F10" s="7">
        <f>E10*(Income_Statement!F3/Income_Statement!E3)</f>
        <v>296245.74</v>
      </c>
      <c r="G10" s="7">
        <f>F10*(Income_Statement!G3/Income_Statement!F3)</f>
        <v>302170.65480000002</v>
      </c>
      <c r="H10" s="7">
        <f>G10*(Income_Statement!H3/Income_Statement!G3)</f>
        <v>308214.06789600005</v>
      </c>
    </row>
    <row r="11" spans="2:8" x14ac:dyDescent="0.35">
      <c r="C11" s="7"/>
      <c r="D11" s="7"/>
      <c r="E11" s="7"/>
      <c r="F11" s="7"/>
      <c r="G11" s="7"/>
      <c r="H11" s="7"/>
    </row>
    <row r="12" spans="2:8" x14ac:dyDescent="0.35">
      <c r="B12" s="24" t="s">
        <v>87</v>
      </c>
      <c r="C12" s="25"/>
      <c r="D12" s="25"/>
      <c r="E12" s="25"/>
      <c r="F12" s="25"/>
      <c r="G12" s="25"/>
      <c r="H12" s="25"/>
    </row>
    <row r="13" spans="2:8" x14ac:dyDescent="0.35">
      <c r="B13" t="s">
        <v>88</v>
      </c>
      <c r="C13" s="7">
        <f t="shared" ref="C13:H13" si="0">C6-C10</f>
        <v>63090</v>
      </c>
      <c r="D13" s="7">
        <f t="shared" si="0"/>
        <v>50672</v>
      </c>
      <c r="E13" s="7">
        <f t="shared" si="0"/>
        <v>62146</v>
      </c>
      <c r="F13" s="7">
        <f t="shared" si="0"/>
        <v>63388.920000000042</v>
      </c>
      <c r="G13" s="7">
        <f t="shared" si="0"/>
        <v>64656.698399999994</v>
      </c>
      <c r="H13" s="7">
        <f t="shared" si="0"/>
        <v>65949.832367999945</v>
      </c>
    </row>
    <row r="15" spans="2:8" x14ac:dyDescent="0.35">
      <c r="B15" s="24" t="s">
        <v>89</v>
      </c>
      <c r="C15" s="24"/>
      <c r="D15" s="24"/>
      <c r="E15" s="24"/>
      <c r="F15" s="24"/>
      <c r="G15" s="24"/>
      <c r="H15" s="24"/>
    </row>
    <row r="16" spans="2:8" x14ac:dyDescent="0.35">
      <c r="B16" t="s">
        <v>90</v>
      </c>
      <c r="C16" s="8">
        <f t="shared" ref="C16:H16" si="1">C9/C6</f>
        <v>0.35532276169366556</v>
      </c>
      <c r="D16" s="8">
        <f t="shared" si="1"/>
        <v>0.37555810690139046</v>
      </c>
      <c r="E16" s="8">
        <f t="shared" si="1"/>
        <v>0.35149170549913072</v>
      </c>
      <c r="F16" s="8">
        <f t="shared" si="1"/>
        <v>0.33770771704818436</v>
      </c>
      <c r="G16" s="8">
        <f t="shared" si="1"/>
        <v>0.32115341719288121</v>
      </c>
      <c r="H16" s="8">
        <f t="shared" si="1"/>
        <v>0.30226203971094701</v>
      </c>
    </row>
    <row r="17" spans="2:8" x14ac:dyDescent="0.35">
      <c r="B17" t="s">
        <v>91</v>
      </c>
      <c r="C17" s="23">
        <f t="shared" ref="C17:H17" si="2">C6/C13</f>
        <v>5.5635124425423994</v>
      </c>
      <c r="D17" s="23">
        <f t="shared" si="2"/>
        <v>6.9615369434796337</v>
      </c>
      <c r="E17" s="23">
        <f t="shared" si="2"/>
        <v>5.6734624915521517</v>
      </c>
      <c r="F17" s="23">
        <f t="shared" si="2"/>
        <v>5.6734624915521481</v>
      </c>
      <c r="G17" s="23">
        <f t="shared" si="2"/>
        <v>5.6734624915521525</v>
      </c>
      <c r="H17" s="23">
        <f t="shared" si="2"/>
        <v>5.6734624915521561</v>
      </c>
    </row>
  </sheetData>
  <pageMargins left="0.7" right="0.7" top="0.75" bottom="0.75" header="0.3" footer="0.3"/>
  <pageSetup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8FB7-441C-4970-8FE4-BC2ECA5BF47E}">
  <sheetPr>
    <tabColor theme="9" tint="0.39997558519241921"/>
  </sheetPr>
  <dimension ref="B1:H10"/>
  <sheetViews>
    <sheetView showGridLines="0" zoomScale="60" zoomScaleNormal="60" workbookViewId="0">
      <selection activeCell="B1" sqref="B1:H1"/>
    </sheetView>
  </sheetViews>
  <sheetFormatPr defaultRowHeight="14.5" x14ac:dyDescent="0.35"/>
  <cols>
    <col min="2" max="2" width="33" bestFit="1" customWidth="1"/>
    <col min="3" max="5" width="10.36328125" bestFit="1" customWidth="1"/>
    <col min="6" max="8" width="11.26953125" bestFit="1" customWidth="1"/>
  </cols>
  <sheetData>
    <row r="1" spans="2:8" x14ac:dyDescent="0.35"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</row>
    <row r="3" spans="2:8" x14ac:dyDescent="0.35">
      <c r="B3" s="10" t="s">
        <v>42</v>
      </c>
      <c r="C3" s="11">
        <f>Income_Statement!C14</f>
        <v>94680</v>
      </c>
      <c r="D3" s="11">
        <f>Income_Statement!D14</f>
        <v>99803</v>
      </c>
      <c r="E3" s="11">
        <f>Income_Statement!E14</f>
        <v>96995</v>
      </c>
      <c r="F3" s="11">
        <f>Income_Statement!F14</f>
        <v>86009.15400000001</v>
      </c>
      <c r="G3" s="11">
        <f>Income_Statement!G14</f>
        <v>87729.337080000012</v>
      </c>
      <c r="H3" s="11">
        <f>Income_Statement!H14</f>
        <v>89483.923821600009</v>
      </c>
    </row>
    <row r="4" spans="2:8" x14ac:dyDescent="0.35">
      <c r="B4" s="10"/>
      <c r="C4" s="10"/>
      <c r="D4" s="10"/>
      <c r="E4" s="10"/>
      <c r="F4" s="10"/>
      <c r="G4" s="10"/>
      <c r="H4" s="10"/>
    </row>
    <row r="5" spans="2:8" x14ac:dyDescent="0.35">
      <c r="B5" s="10" t="s">
        <v>45</v>
      </c>
      <c r="C5" s="11">
        <f>Income_Statement!C11</f>
        <v>11284</v>
      </c>
      <c r="D5" s="11">
        <f>Income_Statement!D11</f>
        <v>11104</v>
      </c>
      <c r="E5" s="11">
        <f>Income_Statement!E11</f>
        <v>11519</v>
      </c>
      <c r="F5" s="11">
        <f>Income_Statement!F11</f>
        <v>9773.7674999999999</v>
      </c>
      <c r="G5" s="11">
        <f>Income_Statement!G11</f>
        <v>9969.2428500000024</v>
      </c>
      <c r="H5" s="11">
        <f>Income_Statement!H11</f>
        <v>10168.627707000001</v>
      </c>
    </row>
    <row r="6" spans="2:8" x14ac:dyDescent="0.35">
      <c r="B6" s="10" t="s">
        <v>46</v>
      </c>
      <c r="C6" s="11">
        <v>-10708</v>
      </c>
      <c r="D6" s="11">
        <v>-10708</v>
      </c>
      <c r="E6" s="11">
        <v>-10959</v>
      </c>
      <c r="F6" s="11">
        <f>-Income_Statement!F3*Assumptions!B12</f>
        <v>-10946.6196</v>
      </c>
      <c r="G6" s="11">
        <f>-Income_Statement!G3*Assumptions!B12</f>
        <v>-11165.551992000001</v>
      </c>
      <c r="H6" s="11">
        <f>-Income_Statement!H3*Assumptions!B12</f>
        <v>-11388.863031840001</v>
      </c>
    </row>
    <row r="7" spans="2:8" x14ac:dyDescent="0.35">
      <c r="B7" s="10" t="s">
        <v>47</v>
      </c>
      <c r="C7" s="11">
        <v>-1200</v>
      </c>
      <c r="D7" s="11">
        <v>-900</v>
      </c>
      <c r="E7" s="11">
        <v>-1100</v>
      </c>
      <c r="F7" s="11">
        <f>-Income_Statement!F3*Assumptions!B14</f>
        <v>-4691.4084000000003</v>
      </c>
      <c r="G7" s="11">
        <f>-Income_Statement!G3*Assumptions!B14</f>
        <v>-4785.2365680000003</v>
      </c>
      <c r="H7" s="11">
        <f>-Income_Statement!H3*Assumptions!B14</f>
        <v>-4880.9412993600008</v>
      </c>
    </row>
    <row r="8" spans="2:8" x14ac:dyDescent="0.35">
      <c r="B8" s="10"/>
      <c r="C8" s="10"/>
      <c r="D8" s="10"/>
      <c r="E8" s="10"/>
      <c r="F8" s="10"/>
      <c r="G8" s="10"/>
      <c r="H8" s="10"/>
    </row>
    <row r="9" spans="2:8" x14ac:dyDescent="0.35">
      <c r="B9" s="10" t="s">
        <v>48</v>
      </c>
      <c r="C9" s="12">
        <f t="shared" ref="C9:H9" si="0">C3+C5+C6+C7</f>
        <v>94056</v>
      </c>
      <c r="D9" s="12">
        <f t="shared" si="0"/>
        <v>99299</v>
      </c>
      <c r="E9" s="12">
        <f t="shared" si="0"/>
        <v>96455</v>
      </c>
      <c r="F9" s="12">
        <f t="shared" si="0"/>
        <v>80144.893500000006</v>
      </c>
      <c r="G9" s="12">
        <f t="shared" si="0"/>
        <v>81747.791370000021</v>
      </c>
      <c r="H9" s="12">
        <f t="shared" si="0"/>
        <v>83382.747197400022</v>
      </c>
    </row>
    <row r="10" spans="2:8" x14ac:dyDescent="0.35">
      <c r="B10" s="10" t="s">
        <v>49</v>
      </c>
      <c r="C10" s="20">
        <f>C9/Income_Statement!C3</f>
        <v>0.25711216263869641</v>
      </c>
      <c r="D10" s="20">
        <f>D9/Income_Statement!D3</f>
        <v>0.25181828325657829</v>
      </c>
      <c r="E10" s="20">
        <f>E9/Income_Statement!E3</f>
        <v>0.25165346935048333</v>
      </c>
      <c r="F10" s="20">
        <f>F9/Income_Statement!F3</f>
        <v>0.20500000000000002</v>
      </c>
      <c r="G10" s="20">
        <f>G9/Income_Statement!G3</f>
        <v>0.20500000000000004</v>
      </c>
      <c r="H10" s="20">
        <f>H9/Income_Statement!H3</f>
        <v>0.20500000000000004</v>
      </c>
    </row>
  </sheetData>
  <pageMargins left="0.7" right="0.7" top="0.75" bottom="0.75" header="0.3" footer="0.3"/>
  <pageSetup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2062-41E6-4D64-BA11-FB9FF1AE4A78}">
  <sheetPr>
    <tabColor rgb="FF7030A0"/>
  </sheetPr>
  <dimension ref="A1:H41"/>
  <sheetViews>
    <sheetView showGridLines="0" zoomScale="60" zoomScaleNormal="60" workbookViewId="0">
      <selection activeCell="J46" sqref="J46"/>
    </sheetView>
  </sheetViews>
  <sheetFormatPr defaultRowHeight="14.5" x14ac:dyDescent="0.35"/>
  <cols>
    <col min="1" max="1" width="51.453125" bestFit="1" customWidth="1"/>
    <col min="2" max="2" width="12.7265625" bestFit="1" customWidth="1"/>
    <col min="3" max="4" width="10.36328125" bestFit="1" customWidth="1"/>
    <col min="5" max="5" width="20" bestFit="1" customWidth="1"/>
    <col min="6" max="8" width="10.36328125" bestFit="1" customWidth="1"/>
  </cols>
  <sheetData>
    <row r="1" spans="1:4" x14ac:dyDescent="0.35">
      <c r="A1" s="5" t="s">
        <v>50</v>
      </c>
    </row>
    <row r="3" spans="1:4" x14ac:dyDescent="0.35">
      <c r="A3" s="10" t="s">
        <v>51</v>
      </c>
      <c r="B3" s="10" t="s">
        <v>32</v>
      </c>
      <c r="C3" s="10" t="s">
        <v>33</v>
      </c>
      <c r="D3" s="10" t="s">
        <v>34</v>
      </c>
    </row>
    <row r="4" spans="1:4" x14ac:dyDescent="0.35">
      <c r="A4" s="10" t="s">
        <v>52</v>
      </c>
      <c r="B4" s="11">
        <f>Cash_Flow!F9</f>
        <v>80144.893500000006</v>
      </c>
      <c r="C4" s="11">
        <f>Cash_Flow!G9</f>
        <v>81747.791370000021</v>
      </c>
      <c r="D4" s="11">
        <f>Cash_Flow!H9</f>
        <v>83382.747197400022</v>
      </c>
    </row>
    <row r="5" spans="1:4" x14ac:dyDescent="0.35">
      <c r="A5" s="10" t="s">
        <v>53</v>
      </c>
      <c r="B5" s="10">
        <f>1/(1+F34)^1</f>
        <v>0.90497737556561086</v>
      </c>
      <c r="C5" s="10">
        <f>1/(1+F34)^2</f>
        <v>0.81898405028562071</v>
      </c>
      <c r="D5" s="10">
        <f>1/(1+F34)^3</f>
        <v>0.74116203645757528</v>
      </c>
    </row>
    <row r="6" spans="1:4" x14ac:dyDescent="0.35">
      <c r="A6" s="10" t="s">
        <v>54</v>
      </c>
      <c r="B6" s="11">
        <f>B4*B5</f>
        <v>72529.315384615387</v>
      </c>
      <c r="C6" s="11">
        <f>C4*C5</f>
        <v>66950.137278106529</v>
      </c>
      <c r="D6" s="11">
        <f>D4*D5</f>
        <v>61800.126718252177</v>
      </c>
    </row>
    <row r="8" spans="1:4" x14ac:dyDescent="0.35">
      <c r="A8" s="5" t="s">
        <v>55</v>
      </c>
    </row>
    <row r="10" spans="1:4" x14ac:dyDescent="0.35">
      <c r="A10" s="10" t="s">
        <v>56</v>
      </c>
      <c r="B10" s="11">
        <f>D4</f>
        <v>83382.747197400022</v>
      </c>
    </row>
    <row r="11" spans="1:4" x14ac:dyDescent="0.35">
      <c r="A11" s="10" t="s">
        <v>23</v>
      </c>
      <c r="B11" s="10">
        <f>F35</f>
        <v>0.03</v>
      </c>
    </row>
    <row r="12" spans="1:4" x14ac:dyDescent="0.35">
      <c r="A12" s="10" t="s">
        <v>57</v>
      </c>
      <c r="B12" s="10">
        <f>Assumptions!B20</f>
        <v>9.9999999999999992E-2</v>
      </c>
    </row>
    <row r="13" spans="1:4" x14ac:dyDescent="0.35">
      <c r="A13" s="10" t="s">
        <v>58</v>
      </c>
      <c r="B13" s="11">
        <f>B10*(1+B11)/(B12-B11)</f>
        <v>1226917.5659046005</v>
      </c>
    </row>
    <row r="14" spans="1:4" x14ac:dyDescent="0.35">
      <c r="A14" s="10" t="s">
        <v>59</v>
      </c>
      <c r="B14" s="11">
        <f>B13/(1+F35)^3</f>
        <v>1122803.3771514758</v>
      </c>
    </row>
    <row r="16" spans="1:4" x14ac:dyDescent="0.35">
      <c r="A16" s="5" t="s">
        <v>60</v>
      </c>
    </row>
    <row r="18" spans="1:5" x14ac:dyDescent="0.35">
      <c r="A18" s="10" t="s">
        <v>61</v>
      </c>
      <c r="B18" s="10">
        <f>SUM(B6:D6)</f>
        <v>201279.57938097409</v>
      </c>
    </row>
    <row r="19" spans="1:5" x14ac:dyDescent="0.35">
      <c r="A19" s="10" t="s">
        <v>59</v>
      </c>
      <c r="B19" s="12">
        <f>B14</f>
        <v>1122803.3771514758</v>
      </c>
    </row>
    <row r="20" spans="1:5" x14ac:dyDescent="0.35">
      <c r="A20" s="10" t="s">
        <v>62</v>
      </c>
      <c r="B20" s="12">
        <f>B18+B19</f>
        <v>1324082.9565324499</v>
      </c>
    </row>
    <row r="21" spans="1:5" x14ac:dyDescent="0.35">
      <c r="A21" s="10" t="s">
        <v>63</v>
      </c>
      <c r="B21" s="10">
        <v>-83000</v>
      </c>
    </row>
    <row r="22" spans="1:5" x14ac:dyDescent="0.35">
      <c r="A22" s="10" t="s">
        <v>64</v>
      </c>
      <c r="B22" s="12">
        <f>B20+B21</f>
        <v>1241082.9565324499</v>
      </c>
    </row>
    <row r="23" spans="1:5" x14ac:dyDescent="0.35">
      <c r="A23" s="10" t="s">
        <v>65</v>
      </c>
      <c r="B23" s="10">
        <v>15441</v>
      </c>
    </row>
    <row r="24" spans="1:5" x14ac:dyDescent="0.35">
      <c r="A24" s="16" t="s">
        <v>66</v>
      </c>
      <c r="B24" s="19">
        <f>B22/B23</f>
        <v>80.375814813318428</v>
      </c>
    </row>
    <row r="25" spans="1:5" x14ac:dyDescent="0.35">
      <c r="A25" s="10" t="s">
        <v>67</v>
      </c>
      <c r="B25" s="10">
        <v>189.3</v>
      </c>
    </row>
    <row r="26" spans="1:5" x14ac:dyDescent="0.35">
      <c r="A26" s="10" t="s">
        <v>68</v>
      </c>
      <c r="B26" s="13">
        <f>(B24-B25)/B25</f>
        <v>-0.57540509871464118</v>
      </c>
    </row>
    <row r="28" spans="1:5" x14ac:dyDescent="0.35">
      <c r="A28" s="5" t="s">
        <v>69</v>
      </c>
    </row>
    <row r="29" spans="1:5" x14ac:dyDescent="0.35">
      <c r="A29" s="10" t="s">
        <v>70</v>
      </c>
      <c r="B29" t="s">
        <v>71</v>
      </c>
      <c r="C29" t="s">
        <v>72</v>
      </c>
      <c r="D29" t="s">
        <v>73</v>
      </c>
      <c r="E29" t="s">
        <v>74</v>
      </c>
    </row>
    <row r="30" spans="1:5" x14ac:dyDescent="0.35">
      <c r="A30" s="10" t="s">
        <v>75</v>
      </c>
      <c r="B30" s="1">
        <v>0.02</v>
      </c>
      <c r="C30" s="1">
        <v>0.22</v>
      </c>
      <c r="D30" s="1">
        <v>0.105</v>
      </c>
      <c r="E30" s="21">
        <f>((Income_Statement!$E$3*(1+B30)*(C30+Assumptions!$B$13-Assumptions!$B$12-Assumptions!$B$14))/(1+D30)
+(Income_Statement!$E$3*(1+B30)^2*(C30+Assumptions!$B$13-Assumptions!$B$12-Assumptions!$B$14))/(1+D30)^2
+(Income_Statement!$E$3*(1+B30)^3*(C30+Assumptions!$B$13-Assumptions!$B$12-Assumptions!$B$14))/(1+D30)^3
+(Income_Statement!$E$3*(1+B30)^3*(C30+Assumptions!$B$13-Assumptions!$B$12-Assumptions!$B$14)*(1+Assumptions!$B$18))/((D30-Assumptions!$B$18)*(1+D30)^3)
-83000)/15441</f>
        <v>62.6255630882048</v>
      </c>
    </row>
    <row r="31" spans="1:5" x14ac:dyDescent="0.35">
      <c r="A31" s="10" t="s">
        <v>76</v>
      </c>
      <c r="B31" s="1">
        <v>0.06</v>
      </c>
      <c r="C31" s="1">
        <v>0.253</v>
      </c>
      <c r="D31" s="1">
        <v>0.09</v>
      </c>
      <c r="E31" s="21">
        <f>((Income_Statement!$E$3*(1+B31)*(C31+Assumptions!$B$13-Assumptions!$B$12-Assumptions!$B$14))/(1+D31)
+(Income_Statement!$E$3*(1+B31)^2*(C31+Assumptions!$B$13-Assumptions!$B$12-Assumptions!$B$14))/(1+D31)^2
+(Income_Statement!$E$3*(1+B31)^3*(C31+Assumptions!$B$13-Assumptions!$B$12-Assumptions!$B$14))/(1+D31)^3
+(Income_Statement!$E$3*(1+B31)^3*(C31+Assumptions!$B$13-Assumptions!$B$12-Assumptions!$B$14)*(1+Assumptions!$B$18))/((D31-Assumptions!$B$18)*(1+D31)^3)
-83000)/15441</f>
        <v>104.66135647272131</v>
      </c>
    </row>
    <row r="32" spans="1:5" x14ac:dyDescent="0.35">
      <c r="A32" s="10" t="s">
        <v>77</v>
      </c>
      <c r="B32" s="1">
        <v>0.09</v>
      </c>
      <c r="C32" s="1">
        <v>0.28000000000000003</v>
      </c>
      <c r="D32" s="1">
        <v>0.08</v>
      </c>
      <c r="E32" s="21">
        <f>((Income_Statement!$E$3*(1+B32)*(C32+Assumptions!$B$13-Assumptions!$B$12-Assumptions!$B$14))/(1+D32)
+(Income_Statement!$E$3*(1+B32)^2*(C32+Assumptions!$B$13-Assumptions!$B$12-Assumptions!$B$14))/(1+D32)^2
+(Income_Statement!$E$3*(1+B32)^3*(C32+Assumptions!$B$13-Assumptions!$B$12-Assumptions!$B$14))/(1+D32)^3
+(Income_Statement!$E$3*(1+B32)^3*(C32+Assumptions!$B$13-Assumptions!$B$12-Assumptions!$B$14)*(1+Assumptions!$B$18))/((D32-Assumptions!$B$18)*(1+D32)^3)
-83000)/15441</f>
        <v>154.03165849421384</v>
      </c>
    </row>
    <row r="34" spans="1:8" x14ac:dyDescent="0.35">
      <c r="A34" s="10"/>
      <c r="E34" t="s">
        <v>78</v>
      </c>
      <c r="F34" s="3">
        <f>Assumptions!B17</f>
        <v>0.105</v>
      </c>
    </row>
    <row r="35" spans="1:8" x14ac:dyDescent="0.35">
      <c r="E35" t="s">
        <v>79</v>
      </c>
      <c r="F35" s="3">
        <f>Assumptions!B18</f>
        <v>0.03</v>
      </c>
    </row>
    <row r="36" spans="1:8" x14ac:dyDescent="0.35">
      <c r="A36" s="9">
        <f>B24</f>
        <v>80.375814813318428</v>
      </c>
      <c r="B36" s="1">
        <v>7.4999999999999997E-2</v>
      </c>
      <c r="C36" s="1">
        <v>0.08</v>
      </c>
      <c r="D36" s="1">
        <v>8.5000000000000006E-2</v>
      </c>
      <c r="E36" s="1">
        <v>0.09</v>
      </c>
      <c r="F36" s="1">
        <v>9.5000000000000001E-2</v>
      </c>
      <c r="G36" s="1">
        <v>0.1</v>
      </c>
      <c r="H36" s="1">
        <v>0.105</v>
      </c>
    </row>
    <row r="37" spans="1:8" x14ac:dyDescent="0.35">
      <c r="A37" s="1">
        <v>0.02</v>
      </c>
      <c r="B37" s="21">
        <f t="dataTable" ref="B37:H41" dt2D="1" dtr="1" r1="F34" r2="F35"/>
        <v>73.261020113546337</v>
      </c>
      <c r="C37" s="21">
        <v>73.136252286625549</v>
      </c>
      <c r="D37" s="21">
        <v>73.013376831411321</v>
      </c>
      <c r="E37" s="21">
        <v>72.892355053245026</v>
      </c>
      <c r="F37" s="21">
        <v>72.77314923919927</v>
      </c>
      <c r="G37" s="21">
        <v>72.655722628532828</v>
      </c>
      <c r="H37" s="21">
        <v>72.54003938417037</v>
      </c>
    </row>
    <row r="38" spans="1:8" x14ac:dyDescent="0.35">
      <c r="A38" s="1">
        <v>2.5000000000000001E-2</v>
      </c>
      <c r="B38" s="21">
        <v>76.912822907264683</v>
      </c>
      <c r="C38" s="21">
        <v>76.788055080343909</v>
      </c>
      <c r="D38" s="21">
        <v>76.665179625129667</v>
      </c>
      <c r="E38" s="21">
        <v>76.544157846963373</v>
      </c>
      <c r="F38" s="21">
        <v>76.424952032917616</v>
      </c>
      <c r="G38" s="21">
        <v>76.307525422251189</v>
      </c>
      <c r="H38" s="21">
        <v>76.191842177888716</v>
      </c>
    </row>
    <row r="39" spans="1:8" x14ac:dyDescent="0.35">
      <c r="A39" s="1">
        <v>0.03</v>
      </c>
      <c r="B39" s="21">
        <v>81.096795542694409</v>
      </c>
      <c r="C39" s="21">
        <v>80.972027715773606</v>
      </c>
      <c r="D39" s="21">
        <v>80.849152260559393</v>
      </c>
      <c r="E39" s="21">
        <v>80.728130482393084</v>
      </c>
      <c r="F39" s="21">
        <v>80.608924668347342</v>
      </c>
      <c r="G39" s="21">
        <v>80.4914980576809</v>
      </c>
      <c r="H39" s="21">
        <v>80.375814813318428</v>
      </c>
    </row>
    <row r="40" spans="1:8" x14ac:dyDescent="0.35">
      <c r="A40" s="1">
        <v>3.5000000000000003E-2</v>
      </c>
      <c r="B40" s="21">
        <v>85.935528805161184</v>
      </c>
      <c r="C40" s="21">
        <v>85.81076097824041</v>
      </c>
      <c r="D40" s="21">
        <v>85.687885523026168</v>
      </c>
      <c r="E40" s="21">
        <v>85.566863744859873</v>
      </c>
      <c r="F40" s="21">
        <v>85.447657930814117</v>
      </c>
      <c r="G40" s="21">
        <v>85.330231320147689</v>
      </c>
      <c r="H40" s="21">
        <v>85.214548075785217</v>
      </c>
    </row>
    <row r="41" spans="1:8" x14ac:dyDescent="0.35">
      <c r="A41" s="1">
        <v>0.04</v>
      </c>
      <c r="B41" s="21">
        <v>91.592482729141906</v>
      </c>
      <c r="C41" s="21">
        <v>91.467714902221118</v>
      </c>
      <c r="D41" s="21">
        <v>91.344839447006891</v>
      </c>
      <c r="E41" s="21">
        <v>91.223817668840596</v>
      </c>
      <c r="F41" s="21">
        <v>91.10461185479484</v>
      </c>
      <c r="G41" s="21">
        <v>90.987185244128412</v>
      </c>
      <c r="H41" s="21">
        <v>90.87150199976594</v>
      </c>
    </row>
  </sheetData>
  <conditionalFormatting sqref="B37:H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302D-5B96-4A77-8FAF-CA9FAC53756A}">
  <sheetPr>
    <tabColor rgb="FF7030A0"/>
  </sheetPr>
  <dimension ref="B2:V47"/>
  <sheetViews>
    <sheetView showGridLines="0" tabSelected="1" zoomScale="60" zoomScaleNormal="60" workbookViewId="0">
      <selection activeCell="D52" sqref="D52"/>
    </sheetView>
  </sheetViews>
  <sheetFormatPr defaultRowHeight="14.5" x14ac:dyDescent="0.35"/>
  <cols>
    <col min="2" max="2" width="20.54296875" bestFit="1" customWidth="1"/>
    <col min="3" max="3" width="21.90625" bestFit="1" customWidth="1"/>
    <col min="4" max="4" width="16.26953125" bestFit="1" customWidth="1"/>
    <col min="5" max="5" width="9.6328125" bestFit="1" customWidth="1"/>
    <col min="6" max="6" width="9" bestFit="1" customWidth="1"/>
    <col min="7" max="7" width="14.6328125" bestFit="1" customWidth="1"/>
    <col min="8" max="8" width="12.1796875" bestFit="1" customWidth="1"/>
    <col min="9" max="9" width="12" bestFit="1" customWidth="1"/>
    <col min="10" max="10" width="15.26953125" bestFit="1" customWidth="1"/>
    <col min="11" max="11" width="10.453125" bestFit="1" customWidth="1"/>
    <col min="12" max="12" width="12.54296875" bestFit="1" customWidth="1"/>
    <col min="13" max="13" width="14.81640625" bestFit="1" customWidth="1"/>
    <col min="14" max="14" width="11.08984375" bestFit="1" customWidth="1"/>
    <col min="15" max="15" width="15.26953125" bestFit="1" customWidth="1"/>
    <col min="16" max="16" width="13.90625" bestFit="1" customWidth="1"/>
    <col min="17" max="17" width="46.26953125" bestFit="1" customWidth="1"/>
  </cols>
  <sheetData>
    <row r="2" spans="2:22" ht="21" x14ac:dyDescent="0.5">
      <c r="B2" s="38" t="s">
        <v>101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2:22" x14ac:dyDescent="0.35">
      <c r="B3" s="39" t="s">
        <v>102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6" spans="2:22" ht="15" thickBot="1" x14ac:dyDescent="0.4">
      <c r="B6" s="6" t="s">
        <v>103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  <c r="H6" s="6" t="s">
        <v>109</v>
      </c>
      <c r="I6" s="6" t="s">
        <v>43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114</v>
      </c>
      <c r="O6" s="6" t="s">
        <v>115</v>
      </c>
      <c r="P6" s="6" t="s">
        <v>116</v>
      </c>
      <c r="Q6" s="6" t="s">
        <v>117</v>
      </c>
      <c r="S6" s="46" t="s">
        <v>169</v>
      </c>
      <c r="T6" s="47"/>
      <c r="U6" s="47"/>
      <c r="V6" s="48"/>
    </row>
    <row r="7" spans="2:22" x14ac:dyDescent="0.35">
      <c r="B7" s="10" t="s">
        <v>118</v>
      </c>
      <c r="C7" s="10" t="s">
        <v>122</v>
      </c>
      <c r="D7" s="10" t="s">
        <v>119</v>
      </c>
      <c r="E7" s="10" t="s">
        <v>120</v>
      </c>
      <c r="F7" s="10">
        <v>88.4</v>
      </c>
      <c r="G7" s="10">
        <v>1.7</v>
      </c>
      <c r="H7" s="11">
        <v>211915</v>
      </c>
      <c r="I7" s="31">
        <v>0.34150000000000003</v>
      </c>
      <c r="J7" s="31">
        <v>0.49930000000000002</v>
      </c>
      <c r="K7" s="31">
        <v>0.1221</v>
      </c>
      <c r="L7" s="31">
        <v>0.09</v>
      </c>
      <c r="M7" s="31">
        <v>-7.4999999999999997E-3</v>
      </c>
      <c r="N7" s="31">
        <f t="shared" ref="N7:N16" si="0">L7+M7</f>
        <v>8.249999999999999E-2</v>
      </c>
      <c r="O7" s="31">
        <v>0.185</v>
      </c>
      <c r="P7" s="32" t="s">
        <v>123</v>
      </c>
      <c r="Q7" s="10" t="s">
        <v>124</v>
      </c>
      <c r="S7" s="40" t="s">
        <v>171</v>
      </c>
      <c r="T7" s="41"/>
      <c r="U7" s="41"/>
      <c r="V7" s="42"/>
    </row>
    <row r="8" spans="2:22" x14ac:dyDescent="0.35">
      <c r="B8" s="10" t="s">
        <v>125</v>
      </c>
      <c r="C8" s="10" t="s">
        <v>126</v>
      </c>
      <c r="D8" s="10" t="s">
        <v>119</v>
      </c>
      <c r="E8" s="10" t="s">
        <v>120</v>
      </c>
      <c r="F8" s="10">
        <v>84.5</v>
      </c>
      <c r="G8" s="10">
        <v>2.6</v>
      </c>
      <c r="H8" s="11">
        <v>383285</v>
      </c>
      <c r="I8" s="31">
        <v>0.25309999999999999</v>
      </c>
      <c r="J8" s="31">
        <v>0.32150000000000001</v>
      </c>
      <c r="K8" s="31">
        <v>2.3599999999999999E-2</v>
      </c>
      <c r="L8" s="31">
        <v>0.09</v>
      </c>
      <c r="M8" s="31">
        <v>-5.0000000000000001E-3</v>
      </c>
      <c r="N8" s="31">
        <f t="shared" si="0"/>
        <v>8.4999999999999992E-2</v>
      </c>
      <c r="O8" s="33">
        <f>(DCF_Valuation!B24-DCF_Valuation!B25)/DCF_Valuation!B25</f>
        <v>-0.57540509871464118</v>
      </c>
      <c r="P8" s="32" t="s">
        <v>121</v>
      </c>
      <c r="Q8" s="10" t="s">
        <v>127</v>
      </c>
      <c r="S8" s="40" t="s">
        <v>170</v>
      </c>
      <c r="T8" s="41"/>
      <c r="U8" s="41"/>
      <c r="V8" s="42"/>
    </row>
    <row r="9" spans="2:22" x14ac:dyDescent="0.35">
      <c r="B9" s="10" t="s">
        <v>128</v>
      </c>
      <c r="C9" s="10" t="s">
        <v>129</v>
      </c>
      <c r="D9" s="10" t="s">
        <v>130</v>
      </c>
      <c r="E9" s="10" t="s">
        <v>120</v>
      </c>
      <c r="F9" s="10">
        <v>83.2</v>
      </c>
      <c r="G9" s="10">
        <v>6.5</v>
      </c>
      <c r="H9" s="11">
        <v>24521</v>
      </c>
      <c r="I9" s="31">
        <v>0.14749999999999999</v>
      </c>
      <c r="J9" s="31">
        <v>0.48249999999999998</v>
      </c>
      <c r="K9" s="31">
        <v>0.1983</v>
      </c>
      <c r="L9" s="31">
        <v>0.09</v>
      </c>
      <c r="M9" s="31">
        <v>-7.4999999999999997E-3</v>
      </c>
      <c r="N9" s="31">
        <f t="shared" si="0"/>
        <v>8.249999999999999E-2</v>
      </c>
      <c r="O9" s="31">
        <v>0.22</v>
      </c>
      <c r="P9" s="32" t="s">
        <v>121</v>
      </c>
      <c r="Q9" s="10" t="s">
        <v>131</v>
      </c>
      <c r="S9" s="40" t="s">
        <v>172</v>
      </c>
      <c r="T9" s="41"/>
      <c r="U9" s="41"/>
      <c r="V9" s="42"/>
    </row>
    <row r="10" spans="2:22" x14ac:dyDescent="0.35">
      <c r="B10" s="10" t="s">
        <v>132</v>
      </c>
      <c r="C10" s="10" t="s">
        <v>133</v>
      </c>
      <c r="D10" s="10" t="s">
        <v>134</v>
      </c>
      <c r="E10" s="10" t="s">
        <v>135</v>
      </c>
      <c r="F10" s="10">
        <v>77.7</v>
      </c>
      <c r="G10" s="10">
        <v>8.6999999999999993</v>
      </c>
      <c r="H10" s="11">
        <v>59580</v>
      </c>
      <c r="I10" s="31">
        <v>0.11990000000000001</v>
      </c>
      <c r="J10" s="31">
        <v>0.1704</v>
      </c>
      <c r="K10" s="31">
        <v>6.5600000000000006E-2</v>
      </c>
      <c r="L10" s="31">
        <v>0.09</v>
      </c>
      <c r="M10" s="31">
        <v>-2.5000000000000001E-3</v>
      </c>
      <c r="N10" s="31">
        <f t="shared" si="0"/>
        <v>8.7499999999999994E-2</v>
      </c>
      <c r="O10" s="31">
        <v>0.08</v>
      </c>
      <c r="P10" s="32" t="s">
        <v>168</v>
      </c>
      <c r="Q10" s="10" t="s">
        <v>136</v>
      </c>
      <c r="S10" s="40" t="s">
        <v>173</v>
      </c>
      <c r="T10" s="41"/>
      <c r="U10" s="41"/>
      <c r="V10" s="42"/>
    </row>
    <row r="11" spans="2:22" x14ac:dyDescent="0.35">
      <c r="B11" s="10" t="s">
        <v>137</v>
      </c>
      <c r="C11" s="10" t="s">
        <v>138</v>
      </c>
      <c r="D11" s="10" t="s">
        <v>139</v>
      </c>
      <c r="E11" s="10" t="s">
        <v>135</v>
      </c>
      <c r="F11" s="10">
        <v>70.900000000000006</v>
      </c>
      <c r="G11" s="10">
        <v>8.1</v>
      </c>
      <c r="H11" s="11">
        <v>85159</v>
      </c>
      <c r="I11" s="31">
        <v>0.15790000000000001</v>
      </c>
      <c r="J11" s="31">
        <v>0.25940000000000002</v>
      </c>
      <c r="K11" s="31">
        <v>-4.7E-2</v>
      </c>
      <c r="L11" s="31">
        <v>0.09</v>
      </c>
      <c r="M11" s="31">
        <v>-2.5000000000000001E-3</v>
      </c>
      <c r="N11" s="31">
        <f t="shared" si="0"/>
        <v>8.7499999999999994E-2</v>
      </c>
      <c r="O11" s="31">
        <v>0.05</v>
      </c>
      <c r="P11" s="32" t="s">
        <v>168</v>
      </c>
      <c r="Q11" s="10" t="s">
        <v>140</v>
      </c>
      <c r="S11" s="40" t="s">
        <v>174</v>
      </c>
      <c r="T11" s="41"/>
      <c r="U11" s="41"/>
      <c r="V11" s="42"/>
    </row>
    <row r="12" spans="2:22" x14ac:dyDescent="0.35">
      <c r="B12" s="10" t="s">
        <v>141</v>
      </c>
      <c r="C12" s="10" t="s">
        <v>142</v>
      </c>
      <c r="D12" s="10" t="s">
        <v>143</v>
      </c>
      <c r="E12" s="10" t="s">
        <v>135</v>
      </c>
      <c r="F12" s="10">
        <v>65.400000000000006</v>
      </c>
      <c r="G12" s="10">
        <v>11.2</v>
      </c>
      <c r="H12" s="11">
        <v>154788</v>
      </c>
      <c r="I12" s="31">
        <v>0.3201</v>
      </c>
      <c r="J12" s="31">
        <v>0.3498</v>
      </c>
      <c r="K12" s="31">
        <v>0.1105</v>
      </c>
      <c r="L12" s="31">
        <v>0.09</v>
      </c>
      <c r="M12" s="31">
        <v>0</v>
      </c>
      <c r="N12" s="31">
        <f t="shared" si="0"/>
        <v>0.09</v>
      </c>
      <c r="O12" s="31">
        <v>0.12</v>
      </c>
      <c r="P12" s="32" t="s">
        <v>121</v>
      </c>
      <c r="Q12" s="10" t="s">
        <v>144</v>
      </c>
      <c r="S12" s="40" t="s">
        <v>175</v>
      </c>
      <c r="T12" s="41"/>
      <c r="U12" s="41"/>
      <c r="V12" s="42"/>
    </row>
    <row r="13" spans="2:22" x14ac:dyDescent="0.35">
      <c r="B13" s="10" t="s">
        <v>145</v>
      </c>
      <c r="C13" s="10" t="s">
        <v>146</v>
      </c>
      <c r="D13" s="10" t="s">
        <v>147</v>
      </c>
      <c r="E13" s="10" t="s">
        <v>148</v>
      </c>
      <c r="F13" s="10">
        <v>57.8</v>
      </c>
      <c r="G13" s="10">
        <v>18.3</v>
      </c>
      <c r="H13" s="11">
        <v>574785</v>
      </c>
      <c r="I13" s="31">
        <v>5.2900000000000003E-2</v>
      </c>
      <c r="J13" s="31">
        <v>0.14910000000000001</v>
      </c>
      <c r="K13" s="31">
        <v>0.1061</v>
      </c>
      <c r="L13" s="31">
        <v>9.5000000000000001E-2</v>
      </c>
      <c r="M13" s="31">
        <v>0</v>
      </c>
      <c r="N13" s="31">
        <f t="shared" si="0"/>
        <v>9.5000000000000001E-2</v>
      </c>
      <c r="O13" s="31">
        <v>-0.05</v>
      </c>
      <c r="P13" s="32" t="s">
        <v>149</v>
      </c>
      <c r="Q13" s="10" t="s">
        <v>150</v>
      </c>
      <c r="S13" s="40" t="s">
        <v>176</v>
      </c>
      <c r="T13" s="41"/>
      <c r="U13" s="41"/>
      <c r="V13" s="42"/>
    </row>
    <row r="14" spans="2:22" x14ac:dyDescent="0.35">
      <c r="B14" s="10" t="s">
        <v>151</v>
      </c>
      <c r="C14" s="31" t="s">
        <v>152</v>
      </c>
      <c r="D14" s="10" t="s">
        <v>147</v>
      </c>
      <c r="E14" s="10" t="s">
        <v>148</v>
      </c>
      <c r="F14" s="10">
        <v>53.5</v>
      </c>
      <c r="G14" s="10">
        <v>12.5</v>
      </c>
      <c r="H14" s="11">
        <v>96773</v>
      </c>
      <c r="I14" s="31">
        <v>0.1547</v>
      </c>
      <c r="J14" s="31">
        <v>0.13389999999999999</v>
      </c>
      <c r="K14" s="31">
        <v>0.34100000000000003</v>
      </c>
      <c r="L14" s="31">
        <v>9.5000000000000001E-2</v>
      </c>
      <c r="M14" s="31">
        <v>0</v>
      </c>
      <c r="N14" s="31">
        <f t="shared" si="0"/>
        <v>9.5000000000000001E-2</v>
      </c>
      <c r="O14" s="31">
        <v>0.08</v>
      </c>
      <c r="P14" s="32" t="s">
        <v>121</v>
      </c>
      <c r="Q14" s="10" t="s">
        <v>153</v>
      </c>
      <c r="S14" s="40" t="s">
        <v>178</v>
      </c>
      <c r="T14" s="41"/>
      <c r="U14" s="41"/>
      <c r="V14" s="42"/>
    </row>
    <row r="15" spans="2:22" x14ac:dyDescent="0.35">
      <c r="B15" s="10" t="s">
        <v>154</v>
      </c>
      <c r="C15" s="31" t="s">
        <v>155</v>
      </c>
      <c r="D15" s="10" t="s">
        <v>156</v>
      </c>
      <c r="E15" s="10" t="s">
        <v>157</v>
      </c>
      <c r="F15" s="10">
        <v>44</v>
      </c>
      <c r="G15" s="10">
        <v>80.099999999999994</v>
      </c>
      <c r="H15" s="11">
        <v>196913</v>
      </c>
      <c r="I15" s="31">
        <v>0.1085</v>
      </c>
      <c r="J15" s="31">
        <v>0.1802</v>
      </c>
      <c r="K15" s="31">
        <v>0.1249</v>
      </c>
      <c r="L15" s="31">
        <v>0.105</v>
      </c>
      <c r="M15" s="31">
        <v>5.0000000000000001E-3</v>
      </c>
      <c r="N15" s="31">
        <f t="shared" si="0"/>
        <v>0.11</v>
      </c>
      <c r="O15" s="31">
        <v>-0.08</v>
      </c>
      <c r="P15" s="32" t="s">
        <v>149</v>
      </c>
      <c r="Q15" s="10" t="s">
        <v>158</v>
      </c>
      <c r="S15" s="43" t="s">
        <v>177</v>
      </c>
      <c r="T15" s="44"/>
      <c r="U15" s="44"/>
      <c r="V15" s="45"/>
    </row>
    <row r="16" spans="2:22" x14ac:dyDescent="0.35">
      <c r="B16" s="10" t="s">
        <v>159</v>
      </c>
      <c r="C16" s="31" t="s">
        <v>160</v>
      </c>
      <c r="D16" s="10" t="s">
        <v>156</v>
      </c>
      <c r="E16" s="10" t="s">
        <v>157</v>
      </c>
      <c r="F16" s="10">
        <v>40.6</v>
      </c>
      <c r="G16" s="10">
        <v>87.3</v>
      </c>
      <c r="H16" s="11">
        <v>334697</v>
      </c>
      <c r="I16" s="31">
        <v>0.1076</v>
      </c>
      <c r="J16" s="31">
        <v>0.16739999999999999</v>
      </c>
      <c r="K16" s="31">
        <v>9.9599999999999994E-2</v>
      </c>
      <c r="L16" s="31">
        <v>0.105</v>
      </c>
      <c r="M16" s="31">
        <v>7.4999999999999997E-3</v>
      </c>
      <c r="N16" s="31">
        <f t="shared" si="0"/>
        <v>0.11249999999999999</v>
      </c>
      <c r="O16" s="31">
        <v>-0.12</v>
      </c>
      <c r="P16" s="32" t="s">
        <v>149</v>
      </c>
      <c r="Q16" s="10" t="s">
        <v>161</v>
      </c>
    </row>
    <row r="17" spans="2:5" x14ac:dyDescent="0.35">
      <c r="C17" s="1"/>
    </row>
    <row r="18" spans="2:5" x14ac:dyDescent="0.35">
      <c r="B18" s="5" t="s">
        <v>162</v>
      </c>
    </row>
    <row r="19" spans="2:5" x14ac:dyDescent="0.35">
      <c r="B19" s="31" t="s">
        <v>163</v>
      </c>
      <c r="C19" s="10">
        <f>COUNTIF(E7:E16,"AAA")+COUNTIF(E7:E16,"AA")</f>
        <v>6</v>
      </c>
      <c r="E19" s="1"/>
    </row>
    <row r="20" spans="2:5" x14ac:dyDescent="0.35">
      <c r="B20" s="10" t="s">
        <v>164</v>
      </c>
      <c r="C20" s="10">
        <f>AVERAGE(F7:F16)</f>
        <v>66.599999999999994</v>
      </c>
    </row>
    <row r="21" spans="2:5" x14ac:dyDescent="0.35">
      <c r="B21" s="10" t="s">
        <v>165</v>
      </c>
      <c r="C21" s="31">
        <f>AVERAGE(N7:N16)</f>
        <v>9.2749999999999971E-2</v>
      </c>
    </row>
    <row r="22" spans="2:5" x14ac:dyDescent="0.35">
      <c r="B22" s="10" t="s">
        <v>166</v>
      </c>
      <c r="C22" s="10">
        <f>COUNTIF(O7:O16,"&gt;0")</f>
        <v>6</v>
      </c>
    </row>
    <row r="23" spans="2:5" x14ac:dyDescent="0.35">
      <c r="B23" s="10" t="s">
        <v>167</v>
      </c>
      <c r="C23" s="31">
        <f>AVERAGE(I7:I16)</f>
        <v>0.17637</v>
      </c>
    </row>
    <row r="42" spans="2:3" x14ac:dyDescent="0.35">
      <c r="B42" s="37" t="s">
        <v>179</v>
      </c>
      <c r="C42" s="37"/>
    </row>
    <row r="43" spans="2:3" ht="43.5" customHeight="1" x14ac:dyDescent="0.35">
      <c r="B43" s="34" t="s">
        <v>181</v>
      </c>
      <c r="C43" s="35" t="s">
        <v>182</v>
      </c>
    </row>
    <row r="44" spans="2:3" ht="58" x14ac:dyDescent="0.35">
      <c r="B44" s="34" t="s">
        <v>183</v>
      </c>
      <c r="C44" s="35" t="s">
        <v>184</v>
      </c>
    </row>
    <row r="45" spans="2:3" ht="43.5" x14ac:dyDescent="0.35">
      <c r="B45" s="34" t="s">
        <v>185</v>
      </c>
      <c r="C45" s="35" t="s">
        <v>186</v>
      </c>
    </row>
    <row r="46" spans="2:3" ht="58" x14ac:dyDescent="0.35">
      <c r="B46" s="34" t="s">
        <v>187</v>
      </c>
      <c r="C46" s="36" t="s">
        <v>188</v>
      </c>
    </row>
    <row r="47" spans="2:3" x14ac:dyDescent="0.35">
      <c r="B47" t="s">
        <v>180</v>
      </c>
    </row>
  </sheetData>
  <mergeCells count="13">
    <mergeCell ref="B42:C42"/>
    <mergeCell ref="B2:Q2"/>
    <mergeCell ref="B3:Q3"/>
    <mergeCell ref="S10:V10"/>
    <mergeCell ref="S11:V11"/>
    <mergeCell ref="S12:V12"/>
    <mergeCell ref="S15:V15"/>
    <mergeCell ref="S6:V6"/>
    <mergeCell ref="S7:V7"/>
    <mergeCell ref="S8:V8"/>
    <mergeCell ref="S9:V9"/>
    <mergeCell ref="S13:V13"/>
    <mergeCell ref="S14:V14"/>
  </mergeCells>
  <conditionalFormatting sqref="F7:F16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M7:M16">
    <cfRule type="cellIs" dxfId="6" priority="1" operator="lessThan">
      <formula>0</formula>
    </cfRule>
    <cfRule type="cellIs" dxfId="5" priority="2" operator="equal">
      <formula>0</formula>
    </cfRule>
    <cfRule type="cellIs" dxfId="4" priority="3" operator="greaterThan">
      <formula>0</formula>
    </cfRule>
  </conditionalFormatting>
  <conditionalFormatting sqref="P7:P16">
    <cfRule type="expression" dxfId="3" priority="4" stopIfTrue="1">
      <formula>$P7="Strong Buy"</formula>
    </cfRule>
    <cfRule type="expression" dxfId="2" priority="5" stopIfTrue="1">
      <formula>$P7="Buy"</formula>
    </cfRule>
    <cfRule type="expression" dxfId="1" priority="7" stopIfTrue="1">
      <formula>$P7="Underperform"</formula>
    </cfRule>
    <cfRule type="expression" dxfId="0" priority="8" stopIfTrue="1">
      <formula>$P7="Hold"</formula>
    </cfRule>
  </conditionalFormatting>
  <pageMargins left="0.7" right="0.7" top="0.75" bottom="0.75" header="0.3" footer="0.3"/>
  <pageSetup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Cover</vt:lpstr>
      <vt:lpstr>Assumptions</vt:lpstr>
      <vt:lpstr>Income_Statement</vt:lpstr>
      <vt:lpstr>Balance_Sheet</vt:lpstr>
      <vt:lpstr>Cash_Flow</vt:lpstr>
      <vt:lpstr>DCF_Valuation</vt:lpstr>
      <vt:lpstr>Peer_Comparison</vt:lpstr>
      <vt:lpstr>Assumptions!Print_Area</vt:lpstr>
      <vt:lpstr>Balance_Sheet!Print_Area</vt:lpstr>
      <vt:lpstr>Cash_Flow!Print_Area</vt:lpstr>
      <vt:lpstr>Cover!Print_Area</vt:lpstr>
      <vt:lpstr>DCF_Valuation!Print_Area</vt:lpstr>
      <vt:lpstr>Income_Statement!Print_Area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Goyal</dc:creator>
  <cp:lastModifiedBy>Vansh Goyal</cp:lastModifiedBy>
  <cp:lastPrinted>2026-03-24T08:51:19Z</cp:lastPrinted>
  <dcterms:created xsi:type="dcterms:W3CDTF">2015-06-05T18:17:20Z</dcterms:created>
  <dcterms:modified xsi:type="dcterms:W3CDTF">2026-03-29T09:13:29Z</dcterms:modified>
</cp:coreProperties>
</file>